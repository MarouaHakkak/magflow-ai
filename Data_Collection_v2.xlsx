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codeName="ThisWorkbook"/>
  <mc:AlternateContent xmlns:mc="http://schemas.openxmlformats.org/markup-compatibility/2006">
    <mc:Choice Requires="x15">
      <x15ac:absPath xmlns:x15ac="http://schemas.microsoft.com/office/spreadsheetml/2010/11/ac" url="/Users/marouahakkak/Documents/Rapport PFE /"/>
    </mc:Choice>
  </mc:AlternateContent>
  <xr:revisionPtr revIDLastSave="0" documentId="8_{9B1D4F4E-5445-4045-B99C-720D2455101A}" xr6:coauthVersionLast="47" xr6:coauthVersionMax="47" xr10:uidLastSave="{00000000-0000-0000-0000-000000000000}"/>
  <bookViews>
    <workbookView xWindow="0" yWindow="720" windowWidth="29400" windowHeight="18400" activeTab="4" xr2:uid="{00000000-000D-0000-FFFF-FFFF00000000}"/>
  </bookViews>
  <sheets>
    <sheet name="Guide" sheetId="1" r:id="rId1"/>
    <sheet name="Vendor Models" sheetId="4" r:id="rId2"/>
    <sheet name="Electrode Materials" sheetId="2" r:id="rId3"/>
    <sheet name="Liner Materials" sheetId="3" r:id="rId4"/>
    <sheet name="Drift Detection" sheetId="7" r:id="rId5"/>
    <sheet name="Fluid-Material Matrix" sheetId="11" r:id="rId6"/>
    <sheet name="Sources &amp; Evolution" sheetId="8" r:id="rId7"/>
    <sheet name="CAPEX Components" sheetId="13" r:id="rId8"/>
    <sheet name="OPEX Estimation" sheetId="14" r:id="rId9"/>
    <sheet name="TCO Scoring Examples" sheetId="15" r:id="rId10"/>
    <sheet name="JESA Project Data" sheetId="16" r:id="rId11"/>
  </sheets>
  <definedNames>
    <definedName name="_xlnm._FilterDatabase" localSheetId="5" hidden="1">'Fluid-Material Matrix'!$A$1:$O$42</definedName>
    <definedName name="_xlnm._FilterDatabase" localSheetId="10" hidden="1">'JESA Project Data'!$A$1:$AA$59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3" i="15" l="1"/>
  <c r="H4" i="15"/>
  <c r="H5" i="15"/>
  <c r="H6" i="15"/>
  <c r="H7" i="15"/>
  <c r="H8" i="15"/>
  <c r="H9" i="15"/>
  <c r="H10" i="15"/>
  <c r="H11" i="15"/>
  <c r="H12" i="15"/>
  <c r="H13" i="15"/>
  <c r="H14" i="15"/>
</calcChain>
</file>

<file path=xl/sharedStrings.xml><?xml version="1.0" encoding="utf-8"?>
<sst xmlns="http://schemas.openxmlformats.org/spreadsheetml/2006/main" count="4923" uniqueCount="1320">
  <si>
    <t>DATA COLLECTION TEMPLATE v2 — Restructured for Clarity</t>
  </si>
  <si>
    <t xml:space="preserve">  SHEET 1: Electrode Materials    → One row per material. Check which vendors offer it. Fill properties.</t>
  </si>
  <si>
    <t xml:space="preserve">  SHEET 2: Liner Materials        → Same logic. One row per liner material.</t>
  </si>
  <si>
    <t xml:space="preserve">  SHEET 3: Vendor Models          → One row per vendor model (Rosemount 8700, Promag W, OPTIFLUX, etc.). Fill KPIs.</t>
  </si>
  <si>
    <t xml:space="preserve">  SHEET 4: JESA Project Data      → ALREADY FILLED! 14 flowmeters from PMP CAP Plant with all specs extracted.</t>
  </si>
  <si>
    <t xml:space="preserve">  SHEET 5: CAPEX &amp; OPEX           → One row per vendor model. Fill pricing and lifecycle costs.</t>
  </si>
  <si>
    <t xml:space="preserve">  SHEET 6: Drift Detection        → One row per drift indicator. Fill thresholds and diagnostics info.</t>
  </si>
  <si>
    <t xml:space="preserve">  SHEET 7: Sources &amp; Evolution    → Reference links and material innovation timeline.</t>
  </si>
  <si>
    <t>Material</t>
  </si>
  <si>
    <t>Emerson (Rosemount)</t>
  </si>
  <si>
    <t>Endress+Hauser</t>
  </si>
  <si>
    <t>Krohne</t>
  </si>
  <si>
    <t>Temp Range (°C)</t>
  </si>
  <si>
    <t>Abrasion Resistance</t>
  </si>
  <si>
    <t>Relative Cost</t>
  </si>
  <si>
    <t>Source</t>
  </si>
  <si>
    <t>Status</t>
  </si>
  <si>
    <t>316L SS</t>
  </si>
  <si>
    <t>Good</t>
  </si>
  <si>
    <t>Low</t>
  </si>
  <si>
    <t>À remplir</t>
  </si>
  <si>
    <t>Hastelloy C-276</t>
  </si>
  <si>
    <t>Moderate</t>
  </si>
  <si>
    <t>Medium</t>
  </si>
  <si>
    <t>Hastelloy C-4</t>
  </si>
  <si>
    <t>Tantalum</t>
  </si>
  <si>
    <t>Very High</t>
  </si>
  <si>
    <t>Platinum / Platinum-Iridium</t>
  </si>
  <si>
    <t>Titanium</t>
  </si>
  <si>
    <t>High</t>
  </si>
  <si>
    <t>Monel 400</t>
  </si>
  <si>
    <t>Alloy 20</t>
  </si>
  <si>
    <t>Emerson</t>
  </si>
  <si>
    <t>Vacuum Suitable</t>
  </si>
  <si>
    <t>PTFE</t>
  </si>
  <si>
    <t>No</t>
  </si>
  <si>
    <t>PFA</t>
  </si>
  <si>
    <t>Limited</t>
  </si>
  <si>
    <t>Medium-High</t>
  </si>
  <si>
    <t>Hard Rubber (Ebonite)</t>
  </si>
  <si>
    <t>Yes</t>
  </si>
  <si>
    <t>Soft Rubber (Natural)</t>
  </si>
  <si>
    <t>Excellent</t>
  </si>
  <si>
    <t>Polyurethane</t>
  </si>
  <si>
    <t>Ceramic (Al2O3)</t>
  </si>
  <si>
    <t>ETFE</t>
  </si>
  <si>
    <t>Polypropylene</t>
  </si>
  <si>
    <t>Vendor</t>
  </si>
  <si>
    <t>Model / Series</t>
  </si>
  <si>
    <t>Accuracy (% reading)</t>
  </si>
  <si>
    <t>Repeatability (%)</t>
  </si>
  <si>
    <t>Turndown Ratio</t>
  </si>
  <si>
    <t>Min Conductivity (µS/cm)</t>
  </si>
  <si>
    <t>Flow Velocity Range (m/s)</t>
  </si>
  <si>
    <t>Pipe Sizes (DN)</t>
  </si>
  <si>
    <t>Excitation Type</t>
  </si>
  <si>
    <t>Communication Protocols</t>
  </si>
  <si>
    <t>Empty Pipe Detection</t>
  </si>
  <si>
    <t>IP Rating</t>
  </si>
  <si>
    <t>Transmitter Type</t>
  </si>
  <si>
    <t>Power Supply</t>
  </si>
  <si>
    <t>Internal Diagnostics</t>
  </si>
  <si>
    <t>Source Document</t>
  </si>
  <si>
    <t>±0.2%</t>
  </si>
  <si>
    <t>Tag N°</t>
  </si>
  <si>
    <t>Service (Fluid)</t>
  </si>
  <si>
    <t>Fluid Type</t>
  </si>
  <si>
    <t>Accuracy</t>
  </si>
  <si>
    <t>Remarks</t>
  </si>
  <si>
    <t>204M-FE/FIT-063M</t>
  </si>
  <si>
    <t>FRP</t>
  </si>
  <si>
    <t>904L SS</t>
  </si>
  <si>
    <t>Viton</t>
  </si>
  <si>
    <t>PTFE coating</t>
  </si>
  <si>
    <t>±0.25 to 1% FS</t>
  </si>
  <si>
    <t>255-FE/FIT-126M</t>
  </si>
  <si>
    <t>Sea Water</t>
  </si>
  <si>
    <t>EPDM</t>
  </si>
  <si>
    <t>None</t>
  </si>
  <si>
    <t>Largest meter (DN500)</t>
  </si>
  <si>
    <t>204M-FE/FIT-127M</t>
  </si>
  <si>
    <t>213I-FE/FIT-1317</t>
  </si>
  <si>
    <t>Weak Phosphoric Acid</t>
  </si>
  <si>
    <t>&lt;5</t>
  </si>
  <si>
    <t>213I-FE/FIT-1318</t>
  </si>
  <si>
    <t>213I-FE/FIT-1332</t>
  </si>
  <si>
    <t>213I-FE/FIT-1350</t>
  </si>
  <si>
    <t>213I-FE/FIT-1351</t>
  </si>
  <si>
    <t>213I-FE/FIT-1352</t>
  </si>
  <si>
    <t>213I-FE/FIT-1353</t>
  </si>
  <si>
    <t>255-FE/FIT-1361</t>
  </si>
  <si>
    <t>Process Water</t>
  </si>
  <si>
    <t>Hastelloy C</t>
  </si>
  <si>
    <t>213I-FE/FIT-1362</t>
  </si>
  <si>
    <t>98.5% Sulfuric Acid</t>
  </si>
  <si>
    <t>ZeCor</t>
  </si>
  <si>
    <t>Raised Face flange (RF)</t>
  </si>
  <si>
    <t>213I-FE/FIT-1340</t>
  </si>
  <si>
    <t>28% Sludge to Reactor</t>
  </si>
  <si>
    <t>High viscosity sludge</t>
  </si>
  <si>
    <t>213I-FE/FIT-1310</t>
  </si>
  <si>
    <t>High viscosity sludge, RF flange</t>
  </si>
  <si>
    <t>Promag W 400</t>
  </si>
  <si>
    <t>Drift Indicator</t>
  </si>
  <si>
    <t>What It Tells You</t>
  </si>
  <si>
    <t>How to Measure</t>
  </si>
  <si>
    <t>Root Cause</t>
  </si>
  <si>
    <t>Corrective Action</t>
  </si>
  <si>
    <t>Emerson Support</t>
  </si>
  <si>
    <t>E+H Support</t>
  </si>
  <si>
    <t>Krohne Support</t>
  </si>
  <si>
    <t>Electrode resistance change</t>
  </si>
  <si>
    <t>Coating buildup or corrosion on electrodes</t>
  </si>
  <si>
    <t>Ohm measurement via transmitter diagnostics</t>
  </si>
  <si>
    <t>Fouling, scaling, chemical attack</t>
  </si>
  <si>
    <t>Clean or replace electrodes</t>
  </si>
  <si>
    <t>Signal-to-noise ratio drop</t>
  </si>
  <si>
    <t>Weak or noisy flow signal</t>
  </si>
  <si>
    <t>Transmitter diagnostics / HART</t>
  </si>
  <si>
    <t>Zero drift</t>
  </si>
  <si>
    <t>Measurement reads non-zero at zero flow</t>
  </si>
  <si>
    <t>Empty pipe false readings</t>
  </si>
  <si>
    <t>Meter reads flow when pipe is empty/partial</t>
  </si>
  <si>
    <t>Coil insulation degradation</t>
  </si>
  <si>
    <t>Partial</t>
  </si>
  <si>
    <t>Liner integrity loss</t>
  </si>
  <si>
    <t>Chemical attack or abrasion on liner</t>
  </si>
  <si>
    <t>Process noise increase</t>
  </si>
  <si>
    <t>Unstable or noisy reading</t>
  </si>
  <si>
    <t>Standard deviation of measurement</t>
  </si>
  <si>
    <t>Two-phase flow, cavitation, slurry</t>
  </si>
  <si>
    <t>Check process, resize meter</t>
  </si>
  <si>
    <t>Grounding fault</t>
  </si>
  <si>
    <t>Erratic readings, noise</t>
  </si>
  <si>
    <t>Ground resistance measurement</t>
  </si>
  <si>
    <t>Corroded grounding rings/electrodes</t>
  </si>
  <si>
    <t>Restore/replace grounding</t>
  </si>
  <si>
    <t>Span drift</t>
  </si>
  <si>
    <t>Gradual loss of accuracy over full range</t>
  </si>
  <si>
    <t>Calibration verification</t>
  </si>
  <si>
    <t>Electrode degradation, EMI</t>
  </si>
  <si>
    <t>Recalibrate</t>
  </si>
  <si>
    <t>Converter self-test failure</t>
  </si>
  <si>
    <t>Electronics malfunction</t>
  </si>
  <si>
    <t>Built-in diagnostics</t>
  </si>
  <si>
    <t>Component failure, power issues</t>
  </si>
  <si>
    <t>Replace converter</t>
  </si>
  <si>
    <t>Category</t>
  </si>
  <si>
    <t>Item</t>
  </si>
  <si>
    <t>Details</t>
  </si>
  <si>
    <t>URL / Access</t>
  </si>
  <si>
    <t>Update Frequency</t>
  </si>
  <si>
    <t>Notes</t>
  </si>
  <si>
    <t>Vendor Portal</t>
  </si>
  <si>
    <t>Emerson Rosemount Mag Flow</t>
  </si>
  <si>
    <t>Product specs, selection guides, sizing tools</t>
  </si>
  <si>
    <t>emerson.com</t>
  </si>
  <si>
    <t>Quarterly</t>
  </si>
  <si>
    <t>Endress+Hauser Promag</t>
  </si>
  <si>
    <t>Product configurator, technical documentation</t>
  </si>
  <si>
    <t>endress.com</t>
  </si>
  <si>
    <t>Krohne OPTIFLUX</t>
  </si>
  <si>
    <t>Product data, application reports</t>
  </si>
  <si>
    <t>krohne.com</t>
  </si>
  <si>
    <t>Standards</t>
  </si>
  <si>
    <t>ISA S5.1</t>
  </si>
  <si>
    <t>Instrumentation symbology</t>
  </si>
  <si>
    <t>isa.org</t>
  </si>
  <si>
    <t>As revised</t>
  </si>
  <si>
    <t>IEC 61298</t>
  </si>
  <si>
    <t>Flowmeter testing standards</t>
  </si>
  <si>
    <t>iec.ch</t>
  </si>
  <si>
    <t>Internal</t>
  </si>
  <si>
    <t>JESA Document Server</t>
  </si>
  <si>
    <t>P&amp;IDs, datasheets, project specs</t>
  </si>
  <si>
    <t>Internal network</t>
  </si>
  <si>
    <t>Per project</t>
  </si>
  <si>
    <t>OCP Maintenance Records</t>
  </si>
  <si>
    <t>Failure logs, calibration history, drift data</t>
  </si>
  <si>
    <t>Continuous</t>
  </si>
  <si>
    <t>Key for drift detection pillar</t>
  </si>
  <si>
    <t>MATERIAL EVOLUTION</t>
  </si>
  <si>
    <t>New Material</t>
  </si>
  <si>
    <t>Ceramic liners (Al2O3)</t>
  </si>
  <si>
    <t>Extreme abrasion resistance for mining/slurry</t>
  </si>
  <si>
    <t>~2000s</t>
  </si>
  <si>
    <t>Offered by Krohne, E+H</t>
  </si>
  <si>
    <t>Diamond-like carbon (DLC) electrode coating</t>
  </si>
  <si>
    <t>Anti-fouling, anti-scaling properties</t>
  </si>
  <si>
    <t>~2015s</t>
  </si>
  <si>
    <t>Emerging technology</t>
  </si>
  <si>
    <t>New Technology</t>
  </si>
  <si>
    <t>Dual-frequency excitation</t>
  </si>
  <si>
    <t>Better noise immunity in slurry applications</t>
  </si>
  <si>
    <t>~2010s</t>
  </si>
  <si>
    <t>Krohne, E+H</t>
  </si>
  <si>
    <t>Advanced alloys (Alloy 22)</t>
  </si>
  <si>
    <t>Wider corrosion resistance than Hastelloy C-276</t>
  </si>
  <si>
    <t>✓</t>
  </si>
  <si>
    <t>✗</t>
  </si>
  <si>
    <t>up to 80°C</t>
  </si>
  <si>
    <t>up to 120°C</t>
  </si>
  <si>
    <t>PEX</t>
  </si>
  <si>
    <t>Adiprene</t>
  </si>
  <si>
    <t>Neoprene</t>
  </si>
  <si>
    <t>Linatex Rubber</t>
  </si>
  <si>
    <t>Alloy C22</t>
  </si>
  <si>
    <t>316 Ti</t>
  </si>
  <si>
    <t>Hastelloy B2</t>
  </si>
  <si>
    <t>Temp Range (Water) (°C)</t>
  </si>
  <si>
    <t>Temp Range (Acids) (°C)</t>
  </si>
  <si>
    <t>20–80°C</t>
  </si>
  <si>
    <t>✗ (HF: 120°C)</t>
  </si>
  <si>
    <t>✗ (oxidizing)</t>
  </si>
  <si>
    <t>Very Low</t>
  </si>
  <si>
    <t>Extremely High</t>
  </si>
  <si>
    <t>±0.1%</t>
  </si>
  <si>
    <t>&gt;1000:1</t>
  </si>
  <si>
    <t>≥ 5 µS/cm</t>
  </si>
  <si>
    <t>OPTIFLUX 4100</t>
  </si>
  <si>
    <t>OPTIFLUX 4400</t>
  </si>
  <si>
    <t>JESA Internal DB — Ahmed Saidi 2021</t>
  </si>
  <si>
    <t>JESA Flowmeter Material Selection DB (PDF)</t>
  </si>
  <si>
    <t>Conductive Rubber</t>
  </si>
  <si>
    <t>JESA Internal DB — Ahmed Saidi 2021 + JESA Lessons Learned (MIA/Daoui)</t>
  </si>
  <si>
    <t xml:space="preserve"> -20 to +120°C</t>
  </si>
  <si>
    <t xml:space="preserve"> -20 to +150°C</t>
  </si>
  <si>
    <t xml:space="preserve"> -20 to +60°C </t>
  </si>
  <si>
    <t xml:space="preserve"> -20 to +180°C</t>
  </si>
  <si>
    <t xml:space="preserve">  0 to +80°C</t>
  </si>
  <si>
    <t xml:space="preserve"> -20 to +100°C</t>
  </si>
  <si>
    <t xml:space="preserve"> -20 to +80°C</t>
  </si>
  <si>
    <t xml:space="preserve"> -20 to +60°C</t>
  </si>
  <si>
    <t>intended for "oil and gas applications with high pressure, high salinity"</t>
  </si>
  <si>
    <t xml:space="preserve"> -20 to +70°C</t>
  </si>
  <si>
    <t>8750W</t>
  </si>
  <si>
    <t>Promag W 10</t>
  </si>
  <si>
    <t>Promag W 500</t>
  </si>
  <si>
    <t>Promag P 10</t>
  </si>
  <si>
    <t>Promag P 300</t>
  </si>
  <si>
    <t>Promag P 500</t>
  </si>
  <si>
    <t>OPTIFLUX 1100</t>
  </si>
  <si>
    <t>OPTIFLUX 2100</t>
  </si>
  <si>
    <t>Optiflux 1100</t>
  </si>
  <si>
    <t>Optiflux 2100</t>
  </si>
  <si>
    <t>Optiflux 2300</t>
  </si>
  <si>
    <t>Optiflux 4100</t>
  </si>
  <si>
    <t>Optiflux 4300</t>
  </si>
  <si>
    <t>Optiflux 4400</t>
  </si>
  <si>
    <t>Optiflux 5100</t>
  </si>
  <si>
    <t>Type</t>
  </si>
  <si>
    <t>Flanged sensor</t>
  </si>
  <si>
    <t>Wafer sensor</t>
  </si>
  <si>
    <t>Water sensor</t>
  </si>
  <si>
    <t>Slurry sensor</t>
  </si>
  <si>
    <t>Next-gen sensor</t>
  </si>
  <si>
    <t>Compact water</t>
  </si>
  <si>
    <t>Full water</t>
  </si>
  <si>
    <t>Premium water</t>
  </si>
  <si>
    <t>Compact process</t>
  </si>
  <si>
    <t>Advanced process</t>
  </si>
  <si>
    <t>Premium process</t>
  </si>
  <si>
    <t>Compact wafer</t>
  </si>
  <si>
    <t>Standard water</t>
  </si>
  <si>
    <t>Advanced water</t>
  </si>
  <si>
    <t>Standard process</t>
  </si>
  <si>
    <t>SIL-rated process</t>
  </si>
  <si>
    <t>Aggressive/abrasive</t>
  </si>
  <si>
    <t>HART, Modbus RS485</t>
  </si>
  <si>
    <t>0.01 to 10 m/s</t>
  </si>
  <si>
    <t>PFA HT</t>
  </si>
  <si>
    <t>PN 40 / Class 300</t>
  </si>
  <si>
    <t xml:space="preserve">DN 25-2400 </t>
  </si>
  <si>
    <t xml:space="preserve">DN 25-2000 </t>
  </si>
  <si>
    <t>DN 15–600</t>
  </si>
  <si>
    <t xml:space="preserve">DN 15–600 </t>
  </si>
  <si>
    <t>HART, PROFIBUS DP, Modbus RS485, EtherNet/IP</t>
  </si>
  <si>
    <t>HART, PROFIBUS DP/PA, Modbus RS485, EtherNet/IP, PROFINET, Foundation Fieldbus</t>
  </si>
  <si>
    <t>IP68</t>
  </si>
  <si>
    <t>IP67</t>
  </si>
  <si>
    <t>Compact or remote</t>
  </si>
  <si>
    <t>Compact or remote, WLAN access, web server</t>
  </si>
  <si>
    <t xml:space="preserve"> Remote only, up to 4 I/Os</t>
  </si>
  <si>
    <t>Compact or remote, WLAN, web server</t>
  </si>
  <si>
    <t>Remote only, up to 4 I/Os, WLAN, web server</t>
  </si>
  <si>
    <t>Heartbeat Technology</t>
  </si>
  <si>
    <t>Heartbeat Technology, data logger</t>
  </si>
  <si>
    <t>TI01226D</t>
  </si>
  <si>
    <t>0.01–12 m/s</t>
  </si>
  <si>
    <t>0.01–9.1 m/s</t>
  </si>
  <si>
    <t>50 µS/cm when used with 8712H, or 5 µS/cm when used with other transmitters</t>
  </si>
  <si>
    <t>15–900 mm</t>
  </si>
  <si>
    <t>40–200 mm</t>
  </si>
  <si>
    <t>15 mm–1200 mm</t>
  </si>
  <si>
    <t>80–900 mm</t>
  </si>
  <si>
    <t>DN 15–900</t>
  </si>
  <si>
    <t>Pulsed DC</t>
  </si>
  <si>
    <t>High-Signal Pulsed DC — coils driven at 10 times the current of standard magnetic flow meters</t>
  </si>
  <si>
    <t xml:space="preserve"> HART or Modbus protocol only</t>
  </si>
  <si>
    <t xml:space="preserve"> HART, FOUNDATION Fieldbus, Modbus RS485</t>
  </si>
  <si>
    <t>HART, Bluetooth</t>
  </si>
  <si>
    <t>HART, FOUNDATION Fieldbus, Modbus RS485</t>
  </si>
  <si>
    <t>8732 (integral/remote) or 8712 (wall mount)</t>
  </si>
  <si>
    <t>Integral or remote (field mount / wall mount)</t>
  </si>
  <si>
    <t>8712H (High-Signal) or 8732</t>
  </si>
  <si>
    <t>9732 Magnetic Flow Transmitter with advanced process and device insights, data and device logging capabilities, wireless Bluetooth configuration</t>
  </si>
  <si>
    <t>Smart Meter Verification, Process Noise Detection, Electrode Coating Detection, Grounding/Wiring Fault, Coil Fault</t>
  </si>
  <si>
    <t>Smart Meter Verification, Process Diagnostics</t>
  </si>
  <si>
    <t>Smart Meter Verification, Process Noise Detection, Electrode Coating Detection</t>
  </si>
  <si>
    <t xml:space="preserve">±0.4% </t>
  </si>
  <si>
    <t xml:space="preserve">±0.3% </t>
  </si>
  <si>
    <t xml:space="preserve">±0.2% </t>
  </si>
  <si>
    <t>±0.3%</t>
  </si>
  <si>
    <t>≥5 µS/cm (non-water ≥1 µS/cm)</t>
  </si>
  <si>
    <t>0.3–12 m/s</t>
  </si>
  <si>
    <t>≥5 µS/cm (water ≥20 µS/cm)</t>
  </si>
  <si>
    <t>Pulsed DC + Dual-frequency option</t>
  </si>
  <si>
    <t>4-20 mA HART, Modbus RS485</t>
  </si>
  <si>
    <t>HART, Modbus RS485, PROFIBUS PA/DP, PROFINET, Foundation Fieldbus</t>
  </si>
  <si>
    <t>HART</t>
  </si>
  <si>
    <t>HART, FOUNDATION Fieldbus</t>
  </si>
  <si>
    <t>IP67 / IP68</t>
  </si>
  <si>
    <t>IP67 / IP69</t>
  </si>
  <si>
    <t>Conductivity, electrode error, ambient/process temperature</t>
  </si>
  <si>
    <t>Conductivity, electrode error, ambient/process temperature, OPTICHECK verification</t>
  </si>
  <si>
    <t>Full suite + OPTICHECK verification + Virtual Reference (no grounding rings needed)</t>
  </si>
  <si>
    <t>Full suite + OPTICHECK + Virtual Reference (no grounding rings)</t>
  </si>
  <si>
    <t>Detects gas bubbles, solids, electrode corrosion and deposits, conductivity changes, empty/partial pipe, disturbed flow profile, external magnetic fields + diagnostic test interval including fault response time of only 2 minutes</t>
  </si>
  <si>
    <t>Conductivity, electrode error, ambient/process temperature, OPTICHECK
Electrodes: 316L SS, Hastelloy C, Titanium, Tantalum, Platinum</t>
  </si>
  <si>
    <t>AC: 90–250 VAC / DC: 12–42 VDC</t>
  </si>
  <si>
    <t>DC: 18–30 VDC</t>
  </si>
  <si>
    <t>AC: 100–230 VAC / DC: 20–55 VDC</t>
  </si>
  <si>
    <t>AC: 100–230 VAC / DC: 24 VDC</t>
  </si>
  <si>
    <t>IFC 100 (compact or remote)</t>
  </si>
  <si>
    <t>IFC 300 (compact, field, wall, or rack mount)</t>
  </si>
  <si>
    <t>IFC 400 (field or wall mount)</t>
  </si>
  <si>
    <t xml:space="preserve"> IFC 100 (compact or remote)</t>
  </si>
  <si>
    <t xml:space="preserve">Min Temp (°C) </t>
  </si>
  <si>
    <t>Max Temp (°C)</t>
  </si>
  <si>
    <t xml:space="preserve"> 0 to +80°C</t>
  </si>
  <si>
    <t xml:space="preserve"> -40°C</t>
  </si>
  <si>
    <t xml:space="preserve"> -20°C </t>
  </si>
  <si>
    <t xml:space="preserve"> +180°C</t>
  </si>
  <si>
    <t xml:space="preserve"> +80°C</t>
  </si>
  <si>
    <t xml:space="preserve"> -40°C </t>
  </si>
  <si>
    <t xml:space="preserve"> +90°C</t>
  </si>
  <si>
    <t xml:space="preserve"> -25°C</t>
  </si>
  <si>
    <t xml:space="preserve"> +120°C</t>
  </si>
  <si>
    <t>Potable water</t>
  </si>
  <si>
    <t xml:space="preserve">PFA </t>
  </si>
  <si>
    <t>SS 316</t>
  </si>
  <si>
    <t>N/A</t>
  </si>
  <si>
    <t>Raw water</t>
  </si>
  <si>
    <t>Strong Phosphoric Acid</t>
  </si>
  <si>
    <t>Platinum</t>
  </si>
  <si>
    <t>Scrubber Liquor</t>
  </si>
  <si>
    <t>Soft rubber</t>
  </si>
  <si>
    <t>Conductive rubber</t>
  </si>
  <si>
    <t>Slurry</t>
  </si>
  <si>
    <t>OPTIFLUX 5100</t>
  </si>
  <si>
    <t>Emerson White Paper 88128, E+H SD03129DEN, Krohne OPTIFLUX 4400 product page</t>
  </si>
  <si>
    <t>Electrode fouling, EMI, partial fill, slurry, two-phase flow</t>
  </si>
  <si>
    <t>Check grounding, clean electrodes, increase damping, change coil drive frequency to 37.5 Hz (Emerson)</t>
  </si>
  <si>
    <t>— High Process Noise Detection (DA1 diagnostic suite), recommends increasing damping or switching coil drive frequency(Emerson)— Heartbeat Monitoring tracks noise trends over tim(E+H)—Dual-frequency excitation on OPTIFLUX 4300/4400 actively suppresses process noise(Krohne)</t>
  </si>
  <si>
    <t xml:space="preserve"> —Smart Meter Verification measures electrode circuit resistance against baseline. Rosemount 8705 offers field-replaceable electrodes(Emerson)— Heartbeat monitors E1/E2 electrode impedance continuously(E+H)—OPTICHECK measures electrode error. OPTIFLUX 4400 detects electrode corrosion and deposits automatically(Krohne)</t>
  </si>
  <si>
    <t>Emerson Manual 00809-0100-4727, E+H Heartbeat documentation, Krohne OPTIFLUX 4000 TD</t>
  </si>
  <si>
    <t>Zero-point verification test with block valves closed, full pipe, no flow</t>
  </si>
  <si>
    <t>Residue on electrodes, installation issue, EMI</t>
  </si>
  <si>
    <t>Re-zero via auto-zero function, clean electrodes</t>
  </si>
  <si>
    <t>Emerson Manual 00809-0100-4727 (Section 4), E+H BA01063DEN, Krohne IFC 100/300 TD</t>
  </si>
  <si>
    <t>— Auto-zero procedure completes automatically in approximately 90 seconds(Emerson)— Auto-zero function available, Heartbeat Verification checks zero stability(E+H)— Auto-zero available on all IFC converters(Krohne)</t>
  </si>
  <si>
    <t>Electrode conductivity check via EPD (Empty Pipe Detection) function</t>
  </si>
  <si>
    <t>Partial fill, air entrainment, pump shutdown, gravity drain</t>
  </si>
  <si>
    <t>Check process conditions, adjust EPD settings, verify installation position</t>
  </si>
  <si>
    <t>Emerson PDS 00813-0100-4444, E+H TI01580D (W 10), Krohne OPTIFLUX 4400 product page</t>
  </si>
  <si>
    <t>— Tunable Empty Pipe Detection, standard on all models. Configurable sensitivity(Emerson)— Dedicated EPD electrode, impedance monitored via Heartbeat. Can assign to switch output(E+H)— Empty pipe detection on all OPTIFLUX models. OPTIFLUX 4400 detects partially filled pipe automatically(Krohne)</t>
  </si>
  <si>
    <t>Moisture in coil housing, aging insulation, coil circuit failure</t>
  </si>
  <si>
    <t>Coil resistance measurement + coil current monitoring via transmitter</t>
  </si>
  <si>
    <t>Moisture ingress, vibration, aging, environmental exposure</t>
  </si>
  <si>
    <t>Replace coil assembly, check IP rating integrity, verify cable glands</t>
  </si>
  <si>
    <t>Emerson White Paper 88128, E+H SD03129DEN (Heartbeat Verification report with actual values), Krohne IFC 100 TD</t>
  </si>
  <si>
    <t>— Coil Fault diagnostic (standard). Smart Meter Verification checks coil circuit resistance and coil signature (magnetic field strength) against baseline(Emerson)— Heartbeat monitors coil resistance (example range: 50–240 Ohm), shot time symmetry (0.9–1.1), coil current offset (±0.1%), and coil current loss deviation (±10%)(E+H)— Coil circuit monitoring available, detected via OPTICHECK service tool(Krohne)</t>
  </si>
  <si>
    <t>Visual inspection during scheduled maintenance / indirectly via process noise increase and measurement instability</t>
  </si>
  <si>
    <t>Chemical attack, abrasion (especially slurries), delamination, vacuum damage</t>
  </si>
  <si>
    <t>Replace sensor. Preventive: select correct liner for fluid (soft rubber for rock slurry, PFA for acids)</t>
  </si>
  <si>
    <t>JESA Lessons Learned (MIA/Daoui: rock phosphate slurry destroyed liner and electrode), Emerson Manual 00809-0100-4727</t>
  </si>
  <si>
    <t>— No direct liner diagnostic. Detected indirectly through increased process noise or electrode signal instability(Emerson)— Heartbeat Monitoring build-up index can indicate liner surface changes(E+H)— Detected indirectly via electrode and conductivity diagnostics(Krohne)</t>
  </si>
  <si>
    <t>Emerson PDS 00813-0100-4444</t>
  </si>
  <si>
    <t>Emerson PDS 00813-0100-4444 (listed but not standard at JESA)</t>
  </si>
  <si>
    <t>JESA Flowmeter Material Selection DB (PDF), Emerson PDS 00813-0100-4444, E+H TI01224D</t>
  </si>
  <si>
    <t>Krohne TD OPTIFLUX 4000</t>
  </si>
  <si>
    <t xml:space="preserve">Vérifié </t>
  </si>
  <si>
    <t>Vérifié</t>
  </si>
  <si>
    <t>(Krohne-only, not used at JESA)</t>
  </si>
  <si>
    <t>(Krohne availability uncertain)</t>
  </si>
  <si>
    <t>(vendor-only, not used at JESA)</t>
  </si>
  <si>
    <t>(Ahmed Saidi says sea water, PDF says Titanium — discrepancy)</t>
  </si>
  <si>
    <t>(E+H availability uncertain)</t>
  </si>
  <si>
    <t>(missing some vendor verification)</t>
  </si>
  <si>
    <t>TI01580D</t>
  </si>
  <si>
    <t>TI01046D</t>
  </si>
  <si>
    <t>TI01227D</t>
  </si>
  <si>
    <t>TI01225D</t>
  </si>
  <si>
    <t>TI01224D</t>
  </si>
  <si>
    <t>PDS 00813-0100-4444</t>
  </si>
  <si>
    <t>PDS 00813-0300-4750</t>
  </si>
  <si>
    <t>PDS 00813-0100-4727</t>
  </si>
  <si>
    <t>Emerson product page</t>
  </si>
  <si>
    <t>TD OPTIFLUX 1000 + TD IFC 100</t>
  </si>
  <si>
    <t>TD OPTIFLUX 2000 + TD IFC 100</t>
  </si>
  <si>
    <t>TD OPTIFLUX 2000 + TD IFC 300</t>
  </si>
  <si>
    <t>TD OPTIFLUX 4000 + TD IFC 100</t>
  </si>
  <si>
    <t>TD OPTIFLUX 4000 + TD IFC 300</t>
  </si>
  <si>
    <t>TD OPTIFLUX 4000 + TD IFC 400</t>
  </si>
  <si>
    <t>TD OPTIFLUX 5000 + TD IFC 100</t>
  </si>
  <si>
    <t>±0.25% , ±0.15% (optional)</t>
  </si>
  <si>
    <t>±0.5% , ±0.25% (optional)</t>
  </si>
  <si>
    <t>JESA Internal DB</t>
  </si>
  <si>
    <t>Ahmed Saidi</t>
  </si>
  <si>
    <t xml:space="preserve"> Flow meter technology &amp; material selection V2021</t>
  </si>
  <si>
    <t>Hicham, Abderrahman, FatimaElhadi 2020</t>
  </si>
  <si>
    <t>Internal network, Per project</t>
  </si>
  <si>
    <t>Sizing Application</t>
  </si>
  <si>
    <t xml:space="preserve">JESA </t>
  </si>
  <si>
    <t>Flowmeter Material Selection DB (PDF)</t>
  </si>
  <si>
    <t>PDF</t>
  </si>
  <si>
    <t xml:space="preserve"> -40 to +180°C</t>
  </si>
  <si>
    <t>DN 10–150</t>
  </si>
  <si>
    <t>DN 25–1200</t>
  </si>
  <si>
    <t>DN 25–3000</t>
  </si>
  <si>
    <t>DN 2.5–1200</t>
  </si>
  <si>
    <t>DN 2.5–3000</t>
  </si>
  <si>
    <t>DN 2.5–600 (SIL) / DN 2.5–2000 (non-SIL)</t>
  </si>
  <si>
    <t>DN 15–300</t>
  </si>
  <si>
    <t>App Ahmed Saidi 2021</t>
  </si>
  <si>
    <t>Krohne TD OPTIFLUX 5000 + page produit Krohne OPTIFLUX 5100</t>
  </si>
  <si>
    <t>App Ahmed Saidi 2021 + Emerson PDS</t>
  </si>
  <si>
    <t>"soft rubber can support just 60°C"</t>
  </si>
  <si>
    <t>App Ahmed Saidi 2021 +Emerson PDS 00813-0100-4444</t>
  </si>
  <si>
    <t xml:space="preserve">______ Propriété générale du matériau </t>
  </si>
  <si>
    <t xml:space="preserve">Emerson Rosemount 8700 PDS-Emerson Application Guide </t>
  </si>
  <si>
    <t>App Ahmed Saidi 2021 (onglet "Mag netic database" + "Mag Flow material APP")+Emerson PDS + Krohne TD OPTIFLUX 4000 (section "Vacuum load")</t>
  </si>
  <si>
    <t xml:space="preserve">App Ahmed Saidi 2021 (onglet "Mag netic database" + "Mag Flow material APP") + Krohne TD OPTIFLUX 4000 + E+H TI01224D+Emerson PDS </t>
  </si>
  <si>
    <t>Available Electrodes</t>
  </si>
  <si>
    <t>Available Liners</t>
  </si>
  <si>
    <t>316L, C-276, C22, Platinum, Tantalum, Titanium</t>
  </si>
  <si>
    <t>316L, Ni-Alloy, Platinum, Tantalum, Titanium</t>
  </si>
  <si>
    <t>316L, Ni-Alloy</t>
  </si>
  <si>
    <t>316L, C-276, Hastelloy, Platinum, Tantalum, Titanium</t>
  </si>
  <si>
    <t>316L, C22, Tantalum</t>
  </si>
  <si>
    <t>316L, C22, Tantalum, Platinum, Titanium</t>
  </si>
  <si>
    <t>316L, C22, Tantalum, Platinum, Titanium, Duplex</t>
  </si>
  <si>
    <t>316L, Hastelloy C, Titanium, Tantalum, Platinum</t>
  </si>
  <si>
    <t>316L, Hastelloy C, Titanium, Tantalum</t>
  </si>
  <si>
    <t>PEX, PTFE, ETFE, PFA, PFA+, PU, Neoprene, Linatex, Adiprene</t>
  </si>
  <si>
    <t>PTFE, ETFE, PFA, PU, Neoprene</t>
  </si>
  <si>
    <t>PTFE, Neoprene</t>
  </si>
  <si>
    <t>PTFE, PFA, PU, Linatex, Neoprene</t>
  </si>
  <si>
    <t>Hard rubber, PU, PTFE</t>
  </si>
  <si>
    <t>PFA, PFA HT, PTFE</t>
  </si>
  <si>
    <t>PTFE, PFA, ETFE</t>
  </si>
  <si>
    <t>PTFE, ETFE, Hard rubber, PU</t>
  </si>
  <si>
    <t>PTFE, PFA, ETFE, PU, Hard rubber, Soft rubber</t>
  </si>
  <si>
    <t>Ceramic (Al₂O₃)</t>
  </si>
  <si>
    <t>PFA+</t>
  </si>
  <si>
    <t xml:space="preserve"> -20 to +177°C</t>
  </si>
  <si>
    <t>Service Fluid</t>
  </si>
  <si>
    <t>Coil Housing
Material</t>
  </si>
  <si>
    <t>Flow Tube
Material</t>
  </si>
  <si>
    <t>Liner
Material</t>
  </si>
  <si>
    <t>Electrode
Material</t>
  </si>
  <si>
    <t>Flange
Material</t>
  </si>
  <si>
    <t>Remote Transmitter
Material</t>
  </si>
  <si>
    <t>2" Mounting
Bracket Material</t>
  </si>
  <si>
    <t>Penetrant Ring
(Abrasive fluids)</t>
  </si>
  <si>
    <t>Grounding Ring
(Non-conductive pipe)</t>
  </si>
  <si>
    <t>O-Ring
Material</t>
  </si>
  <si>
    <t>Flange
Coating</t>
  </si>
  <si>
    <t>Pipe
Material</t>
  </si>
  <si>
    <t>100% (w/w) Ester solution</t>
  </si>
  <si>
    <t>SS 304L
CS with corrosion resistant paint
Die cast alu with corrosion resistant paint</t>
  </si>
  <si>
    <t>SS316L</t>
  </si>
  <si>
    <t>PFA / PTFE</t>
  </si>
  <si>
    <t>Die Cast Alu with Epoxy Coated</t>
  </si>
  <si>
    <t>Grounding strap</t>
  </si>
  <si>
    <t>Metal</t>
  </si>
  <si>
    <t>Acidic process water</t>
  </si>
  <si>
    <t>2x Tantalum grounding rings</t>
  </si>
  <si>
    <t>Acids on FRP → 2x Tantalum grounding rings required</t>
  </si>
  <si>
    <t>Amine solution</t>
  </si>
  <si>
    <t>Cake wash water</t>
  </si>
  <si>
    <t>Caustic solution</t>
  </si>
  <si>
    <t>Titanium ou Platinum</t>
  </si>
  <si>
    <t>Cloth wash water</t>
  </si>
  <si>
    <t>Cooling water supply</t>
  </si>
  <si>
    <t>Oui</t>
  </si>
  <si>
    <t>2x Hastelloy C-4 grounding rings</t>
  </si>
  <si>
    <t>Abrasif + corrosif + non-conductive pipe → penetrant ring + 2x Hastelloy C-4 grounding rings</t>
  </si>
  <si>
    <t>Defoamer</t>
  </si>
  <si>
    <t>Filtered water</t>
  </si>
  <si>
    <t>FSA (Fluorosilicic acid)</t>
  </si>
  <si>
    <t>High pressure Gland seal water</t>
  </si>
  <si>
    <t>Low chloride water</t>
  </si>
  <si>
    <t>Low pressure Gland seal water</t>
  </si>
  <si>
    <t>Medium pressure Gland seal water</t>
  </si>
  <si>
    <t>Micronutrient solution</t>
  </si>
  <si>
    <t>Fluide abrasif → penetrant ring requis</t>
  </si>
  <si>
    <t>Pressurized sea water</t>
  </si>
  <si>
    <t>Abrasif + non-conductive pipe → penetrant ring + 2x Hastelloy C-4 grounding rings</t>
  </si>
  <si>
    <t>Process condensate</t>
  </si>
  <si>
    <t>Process water</t>
  </si>
  <si>
    <t>Product Acid</t>
  </si>
  <si>
    <t>Reactor Slurry</t>
  </si>
  <si>
    <t>Platinum / Hastelloy / 80%Pt-20%Ir</t>
  </si>
  <si>
    <t>3 options d'électrode selon disponibilité vendeur</t>
  </si>
  <si>
    <t>Recovered Process Water</t>
  </si>
  <si>
    <t>Recovered Liquor</t>
  </si>
  <si>
    <t>RO water</t>
  </si>
  <si>
    <t>Rock slurry</t>
  </si>
  <si>
    <t>Conductive rubber / Hastelloy / 80%Pt-20%Ir</t>
  </si>
  <si>
    <t>MIA/Daoui: conductive rubber = moins de bruit que métal. 3 options car conductive rubber pas disponible chez tous les vendeurs</t>
  </si>
  <si>
    <t>Scrubber liquor</t>
  </si>
  <si>
    <t>Sea water</t>
  </si>
  <si>
    <t>Neoprene ou PFA</t>
  </si>
  <si>
    <t>Monel 400 ou Titanium</t>
  </si>
  <si>
    <t>2x Monel 400 grounding rings</t>
  </si>
  <si>
    <t>Abrasif → penetrant ring requis. 3 options d'électrode</t>
  </si>
  <si>
    <t>Strong phosphoric acid</t>
  </si>
  <si>
    <t>Acide sur FRP → 2x Tantalum grounding rings</t>
  </si>
  <si>
    <t>Sulfuric Acid</t>
  </si>
  <si>
    <t>Tantalum / Platinum / 80%Pt-20%Ir</t>
  </si>
  <si>
    <t>Acide sur FRP → 2x Tantalum grounding rings. 3 options d'électrode</t>
  </si>
  <si>
    <t>Very High pressure Gland seal water</t>
  </si>
  <si>
    <t>Waste disposal</t>
  </si>
  <si>
    <t>Wash water</t>
  </si>
  <si>
    <t>Weak phosphoric acid</t>
  </si>
  <si>
    <t>Can be on FRP → then Tantalum grounding rings needed</t>
  </si>
  <si>
    <t>RÈGLES GÉNÉRALES JESA (applicables à tous les fluides)</t>
  </si>
  <si>
    <t>1. Pour réduire les coûts, on peut utiliser SS304L pour le flow tube et la bride avec accord client (au lieu de SS316L).</t>
  </si>
  <si>
    <t>2. Pour les petits DN : PFA avec SS mesh. Pour les grands DN : PTFE/ETFE liners.</t>
  </si>
  <si>
    <t>3. Soft rubber est recommandé pour le rock slurry (basse température) car PFA/PTFE seront endommagés par la boue.</t>
  </si>
  <si>
    <t>4. Soft rubber supporte max 60°C, PTFE et PFA supportent 120°C, PFA haute température supporte 180°C → la température est un critère de sélection du liner.</t>
  </si>
  <si>
    <t>5. Si la tuyauterie est métallique (conductrice) → grounding strap suffit. Si FRP (non-conductrice) → grounding ring obligatoire.</t>
  </si>
  <si>
    <t>6. Le matériau du grounding ring doit être compatible avec le fluide (Tantalum pour acides, Monel 400 pour eau de mer, Hastelloy C-4 pour slurries minéraux).</t>
  </si>
  <si>
    <t>7. Les fluides abrasifs (slurries, froth, micronutrient) nécessitent des penetrant rings pour protéger le liner.</t>
  </si>
  <si>
    <t>8. Vitesse max : 6 m/s pour les slurries, 10 m/s pour les liquides.</t>
  </si>
  <si>
    <t>SOURCE</t>
  </si>
  <si>
    <t>• JESA Internal DB — Ahmed Saidi, Flow meter technology &amp; material selection V2021 (onglet 'Mag netic database')</t>
  </si>
  <si>
    <t>• JESA Flowmeter Material Selection DB (PDF) — Flow_meters_material_selection_data_base__Final_revision_.pdf</t>
  </si>
  <si>
    <t>• JESA Lessons Learned — Notes &amp; Lessons Learned (page 9 du PDF), incluant MIA/Daoui</t>
  </si>
  <si>
    <t>• Q37092-00-IC-DAS-00017 — PMP CAP Plant project datasheets (14 magnetic flowmeters)</t>
  </si>
  <si>
    <t xml:space="preserve">8750WA </t>
  </si>
  <si>
    <t>Promag W 100</t>
  </si>
  <si>
    <t xml:space="preserve">Promag W 300 </t>
  </si>
  <si>
    <t xml:space="preserve">Advanced water </t>
  </si>
  <si>
    <t>Promag P 100</t>
  </si>
  <si>
    <t xml:space="preserve">Promag P 200 </t>
  </si>
  <si>
    <t>Optiflux 1300</t>
  </si>
  <si>
    <t>Optiflux 2050</t>
  </si>
  <si>
    <t>Optiflux 5300</t>
  </si>
  <si>
    <t>DN 15–1200</t>
  </si>
  <si>
    <t>316L, Ni-Alloy C-276, Alloy C22, Platinum, Tantalum, Titanium</t>
  </si>
  <si>
    <t>Smart Meter Verification, Ground/Wiring Fault, High Process Noise, Empty Pipe</t>
  </si>
  <si>
    <t>Sanitary/hygienic sensor</t>
  </si>
  <si>
    <t>316L, Alloy C22, Tantalum, Platinum</t>
  </si>
  <si>
    <t xml:space="preserve"> +150°C</t>
  </si>
  <si>
    <t>DN 15–200</t>
  </si>
  <si>
    <t>316L, Alloy C22, Tantalum</t>
  </si>
  <si>
    <t>Polyurethane, Hard rubber, PTFE</t>
  </si>
  <si>
    <t>±0.5% ,  ±0.2% (optional, Flat Spec)</t>
  </si>
  <si>
    <t xml:space="preserve"> ±0.1%</t>
  </si>
  <si>
    <t>DN 25–2000</t>
  </si>
  <si>
    <t>E+H product page</t>
  </si>
  <si>
    <t xml:space="preserve">Polyurethane, Hard rubber, PTFE </t>
  </si>
  <si>
    <t>E+H product page W300</t>
  </si>
  <si>
    <t>316L, Alloy C22, Tantalum, Platinum, Titanium, Duplex 1.4462</t>
  </si>
  <si>
    <t>±0.5% ,  ±0.2% (optional)</t>
  </si>
  <si>
    <t>TI Promag P 100</t>
  </si>
  <si>
    <t>Loop-powered process</t>
  </si>
  <si>
    <t>316L, Alloy C22, Tantalum, Platinum, Titanium</t>
  </si>
  <si>
    <t>PFA, PTFE</t>
  </si>
  <si>
    <t xml:space="preserve">±0.5% o.r. ± 2 mm/s </t>
  </si>
  <si>
    <t xml:space="preserve">                   -25°C</t>
  </si>
  <si>
    <t xml:space="preserve">DN 2.5–300 </t>
  </si>
  <si>
    <t xml:space="preserve"> HART (loop-powered, 2-wire)</t>
  </si>
  <si>
    <t>Heartbeat Technology, SIL approved</t>
  </si>
  <si>
    <t xml:space="preserve"> E+H product page P 200</t>
  </si>
  <si>
    <t xml:space="preserve"> Compact wafer, advanced</t>
  </si>
  <si>
    <t>PFA (reinforced)</t>
  </si>
  <si>
    <t>±0.3% o.r. ± 1 mm/s</t>
  </si>
  <si>
    <t>Full suite + OPTICHECK + Virtual Reference + dual-frequency excitation</t>
  </si>
  <si>
    <t>Krohne product page OPTIFLUX 1300 + TD IFC 300</t>
  </si>
  <si>
    <t>Basic water/wastewater</t>
  </si>
  <si>
    <t xml:space="preserve"> 1000:1</t>
  </si>
  <si>
    <t xml:space="preserve"> DN 25–1200 </t>
  </si>
  <si>
    <t>Basic (conductivity, electrode error) + OPTICHECK</t>
  </si>
  <si>
    <t>Krohne product page OPTIFLUX 2050</t>
  </si>
  <si>
    <t>Advanced abrasive/aggressive with ceramic tube</t>
  </si>
  <si>
    <t>±0.15% o.r. ± 1 mm/s</t>
  </si>
  <si>
    <t>DN 2.5–300 (sandwich DN 2.5–100)</t>
  </si>
  <si>
    <t>Full suite + OPTICHECK + Virtual Reference</t>
  </si>
  <si>
    <t>Krohne product page OPTIFLUX 5300</t>
  </si>
  <si>
    <t xml:space="preserve"> 0.01–10 m/s</t>
  </si>
  <si>
    <t>0.01 - 10 m/s</t>
  </si>
  <si>
    <t>IP67/IP68</t>
  </si>
  <si>
    <t>Compact (integral), Proline 100</t>
  </si>
  <si>
    <t>Compact or remote, Proline 300, WLAN, web server</t>
  </si>
  <si>
    <t>Compact (integral), Proline 100, web server</t>
  </si>
  <si>
    <t>Compact, Proline 200, loop-powered (2-wire)</t>
  </si>
  <si>
    <t>DC: 11.5–42 VDC (loop-powered — c'est sa particularité, il se branche sur la boucle 4-20 mA sans alimentation séparée)</t>
  </si>
  <si>
    <t xml:space="preserve"> IFC 050 (compact or remote)</t>
  </si>
  <si>
    <t>Yes (Tunable EPD)</t>
  </si>
  <si>
    <t>IP66/IP67/IP68</t>
  </si>
  <si>
    <t>8750WA12 (wall mount) ou 8750WA32 (field mount)</t>
  </si>
  <si>
    <t>8732 (integral/remote) ou 8712 (wall mount)</t>
  </si>
  <si>
    <t>Max Pressure (Standard)</t>
  </si>
  <si>
    <t>Class 150</t>
  </si>
  <si>
    <t>Max Pressure (Option)</t>
  </si>
  <si>
    <t>Class 300, 600, 900, 1500, 2500</t>
  </si>
  <si>
    <t>Class 300</t>
  </si>
  <si>
    <t>—</t>
  </si>
  <si>
    <t>Class 150/300 / PN 40</t>
  </si>
  <si>
    <t>PN 40 (DN ≤50), PN 16 (DN 65–150)</t>
  </si>
  <si>
    <t>PN 40 (DN ≤50), PN 16 (DN 65–150), PN 10 (DN 200+)</t>
  </si>
  <si>
    <t>20K (JIS)</t>
  </si>
  <si>
    <t>PN 40 (DN ≤80), PN 16 (DN 100–150), PN 10 (DN 200+)</t>
  </si>
  <si>
    <t>PN 40 (DN ≤50)</t>
  </si>
  <si>
    <t>Class 600</t>
  </si>
  <si>
    <t>PDS 00813-0300-4750 (uses 8705/8711/8721 sensors) - PDS 8750WA</t>
  </si>
  <si>
    <t>Class ASME</t>
  </si>
  <si>
    <t>Pression à 20°C (bar)</t>
  </si>
  <si>
    <t>Pression à 100°C (bar)</t>
  </si>
  <si>
    <t>Pression à 200°C (bar)</t>
  </si>
  <si>
    <t>PN (DIN)</t>
  </si>
  <si>
    <t>PN 6</t>
  </si>
  <si>
    <t>PN 10</t>
  </si>
  <si>
    <t>PN 16</t>
  </si>
  <si>
    <t>PN 25</t>
  </si>
  <si>
    <t>PN 40</t>
  </si>
  <si>
    <t>Equivalent Emerson</t>
  </si>
  <si>
    <t>Equivalent E+H</t>
  </si>
  <si>
    <t>Equivalent Krohne</t>
  </si>
  <si>
    <t>OPTIFLUX 4300</t>
  </si>
  <si>
    <t>Promag W 10 / P 10</t>
  </si>
  <si>
    <t>Promag W 300</t>
  </si>
  <si>
    <t>OPTIFLUX 2300</t>
  </si>
  <si>
    <t>8750WA</t>
  </si>
  <si>
    <t>Promag W 300/500</t>
  </si>
  <si>
    <t>Meilleure accuracy standard (±0.25% vs ±0.5% E+H), seul modèle à offrir Class 2500, 9 liners vs 3 (E+H) et 6 (Krohne)</t>
  </si>
  <si>
    <t>Wafer = plus compact et moins cher que W 10 et 1100, mais DN limité à 200 max</t>
  </si>
  <si>
    <t>Moins cher que W 400 mais seulement 2 liners (PTFE, Neoprene) et 2 electrodes (SS, Ni-Alloy). W 400 offre plus de matériaux</t>
  </si>
  <si>
    <t>Seul modèle High-Signal (10x coil current) — ni E+H ni Krohne n'ont cette technologie. OPTIFLUX 5100 utilise Ceramic à la place. Obsolète</t>
  </si>
  <si>
    <t>Accuracy ±0.25% vs ±0.5% (W 300 et 2300), mais mêmes protocols limités (HART/Modbus) vs full fieldbus chez E+H et Krohne</t>
  </si>
  <si>
    <t>Pas d'équivalent direct. E+H a le Promag H (non listé). Seul hygienic chez Emerson</t>
  </si>
  <si>
    <t>Next-gen avec Bluetooth. Pas encore de retour terrain JESA. P 500 et 4400 sont éprouvés</t>
  </si>
  <si>
    <t>Le plus compact de la série W. Moins de protocols que W 300/400/500 mais suffisant pour applications simples</t>
  </si>
  <si>
    <t>Entre W 10 et W 400. Web server intégré (W 10 n'a pas). Moins de protocols que W 300</t>
  </si>
  <si>
    <t>Full fieldbus vs 8750WA (HART/Modbus seulement). Même accuracy. Plus de protocols que W 400 (a PROFIBUS PA en plus)</t>
  </si>
  <si>
    <t>WLAN access + web server vs 8750W qui n'a ni l'un ni l'autre. Même accuracy ±0.5%</t>
  </si>
  <si>
    <t>Remote only, 4 I/Os vs W 400 (compact ou remote, moins de I/Os). Plus de protocols. Plus cher</t>
  </si>
  <si>
    <t>Même matériaux que P 300/P 500 (PFA, Tantalum, Platinum) mais transmitter compact basique. Budget option pour acides</t>
  </si>
  <si>
    <t>Web server + Heartbeat comme P 300 mais sans PROFIBUS/PROFINET. A Duplex 1.4462 comme P 500. Bon compromis</t>
  </si>
  <si>
    <t>Seul loop-powered (2-wire) — pas d'alimentation séparée nécessaire. Mais DN limité à 200 max et accuracy ±0.5% ± 2 mm/s (moins précis à bas débit que P 300)</t>
  </si>
  <si>
    <t>Full fieldbus + WLAN. Accuracy option ±0.2% vs Emerson ±0.15%. Mais pas de PFA+ ni de Class 600+</t>
  </si>
  <si>
    <t>Le plus complet E+H : Duplex 1.4462 (unique), 4 I/Os, remote only. Plus cher que 8705 mais plus de protocols</t>
  </si>
  <si>
    <t>IFC 100 basique. Accuracy ±0.4% vs ±0.25% (8711) et ±0.5% (W 10). Moins précis mais plus de matériaux électrode que W 10</t>
  </si>
  <si>
    <t>IFC 300 avec dual-frequency et Virtual Reference — ni 8711 ni W 10 n'offrent ça. Meilleur pour fluides difficiles en petit DN</t>
  </si>
  <si>
    <t>Pression standard diminue avec DN (PN 10 au-delà de DN 200) vs 8750W (Class 150/300 constant). Plus de liners (4 vs 2)</t>
  </si>
  <si>
    <t>Version budget IFC 050. Accuracy ±0.5% ± 2 mm/s (moins précis). Pas de dual-frequency. Tropicalized electronics pour humidité extrême</t>
  </si>
  <si>
    <t>Virtual Reference élimine les grounding rings — économie de coût et de maintenance vs 8750WA et W 300 qui en ont besoin</t>
  </si>
  <si>
    <t>Seul à offrir Soft rubber liner en standard — nécessaire pour rock slurry. 8705 et P 300 ne l'offrent pas en standard</t>
  </si>
  <si>
    <t>Dual-frequency + Virtual Reference. Equivalent au P 300 en accuracy (±0.2%) mais avec suppression de bruit active pour slurries</t>
  </si>
  <si>
    <t>Seul modèle SIL 2/3 certifié parmi les 3 vendeurs. Fault response time 2 min. Ni Emerson ni E+H n'ont de SIL dédié pour magflow</t>
  </si>
  <si>
    <t>Ceramic tube — résistance abrasion extrême mais DN limité à 300 max. 8707 va jusqu'à DN 900 mais avec liner classique</t>
  </si>
  <si>
    <t>Accuracy ±0.15% — égal au 8705 optional, meilleur que P 300 (±0.2%). Ceramic + haute précision = le top pour slurries agressifs en petit DN</t>
  </si>
  <si>
    <t>Yes (Limited)</t>
  </si>
  <si>
    <t>E+H TI01224D (Promag P 300), TI01225D (P 10), TI01226D (P 500)</t>
  </si>
  <si>
    <t>Emerson PDS 00813-0100-4444 Rev AK</t>
  </si>
  <si>
    <t>Same PFA base - fluoropolymers have inherently low abrasion resistance-requires SS mesh reinforcement for partial vacuum-More expensive than standard PFA due to special high-temperature formulation</t>
  </si>
  <si>
    <t>Same PFA base - mechanical improvement but no abrasion improvement-Better dimensional stability than standard PFA - resists vacuum and deformation better-More expensive than standard PFA due to reinforced construction + extended DN to 350</t>
  </si>
  <si>
    <t>JESA standard for sea water — not resistant to acids</t>
  </si>
  <si>
    <t>Cannot be injection molded - weaker corrosion resistance than PFA at flange joints-DN range varies by vendor: E+H DN 15–600, Emerson DN 15–900, Krohne DN 2.5–1200</t>
  </si>
  <si>
    <t>Krohne PFA standard = 180°C grâce au renforcement SS mesh, équivalent au PFA HT de E+H-Default JESA liner for acids and most process fluids-DN limited: E+H DN 25–200, Krohne DN 2.5–150, Emerson DN 15–350 (PFA+)</t>
  </si>
  <si>
    <t>Not suitable for acids or solvents-Best value liner for water with particles</t>
  </si>
  <si>
    <t>Good for abrasive but non-acidic fluids — alternative to soft rubber</t>
  </si>
  <si>
    <t>Krohne only (OPTIFLUX 5100/5300)-DN limited to 300 max
FDA compliant - also usable for hygienic applications</t>
  </si>
  <si>
    <t>Krohne offers ETFE for DN above 8" where PFA is not available</t>
  </si>
  <si>
    <t>Water only — no chemical resistance</t>
  </si>
  <si>
    <t>Alternative to soft rubber for slurries — longer lifespan but more expensive</t>
  </si>
  <si>
    <t>Titanium: High cost, resistant to alkalis. Platinum: Extremely High cost, universal chemical resistance</t>
  </si>
  <si>
    <t>Monel 400 + PFA: better chemical resistance, higher temp range. Titanium + Neoprene: lower cost, limited to 80°C</t>
  </si>
  <si>
    <t>Hastelloy C / Platinum</t>
  </si>
  <si>
    <t>Hastelloy C: Medium cost, sufficient for water. Platinum: Extremely High cost, no added benefit for this fluid</t>
  </si>
  <si>
    <t xml:space="preserve"> Hastelloy C / Platinum</t>
  </si>
  <si>
    <t>Gypsum Slurry</t>
  </si>
  <si>
    <t>Lime Slurry</t>
  </si>
  <si>
    <t>Dilute Phosphoric Acid</t>
  </si>
  <si>
    <t>Waste Water</t>
  </si>
  <si>
    <t>Demineralized Water</t>
  </si>
  <si>
    <t>High Chloride Water</t>
  </si>
  <si>
    <t>Scrubber Liquor Slurry</t>
  </si>
  <si>
    <t>Treatment Chemical Phosphate</t>
  </si>
  <si>
    <t>Platinum / Hastelloy C-4</t>
  </si>
  <si>
    <t>Hastelloy C / Alloy C22</t>
  </si>
  <si>
    <t>Hastelloy C-4 / Titanium</t>
  </si>
  <si>
    <t>Tantalum / Platinum</t>
  </si>
  <si>
    <t>Alkaline and abrasive. Unlike acid slurries, Titanium works here because Titanium resists alkalis. It's a third electrode option not available for acid slurries.</t>
  </si>
  <si>
    <t>Major OCP byproduct from phosphoric acid production. Very abrasive. Max velocity should follow the 3 m/s recommended rule, not 6 m/s.</t>
  </si>
  <si>
    <t>This is the riskiest one. Demineralized water has very low conductivity (can be &lt;1 µS/cm after full treatment). Magflows require ≥5 µS/cm.</t>
  </si>
  <si>
    <t xml:space="preserve">Fluid type </t>
  </si>
  <si>
    <t>Corrosive</t>
  </si>
  <si>
    <t>Clean</t>
  </si>
  <si>
    <t xml:space="preserve">Ester solution </t>
  </si>
  <si>
    <t>Mineral Froth</t>
  </si>
  <si>
    <t>Abrasive</t>
  </si>
  <si>
    <t>Mineral Slurry</t>
  </si>
  <si>
    <t>5% Phosphoric Ester solution</t>
  </si>
  <si>
    <t>Gland seal water LP/MP/HP/VHP</t>
  </si>
  <si>
    <t>Abrasive + Corrosive</t>
  </si>
  <si>
    <t>Abrasive + Mild Corrosive</t>
  </si>
  <si>
    <t xml:space="preserve"> sea water based mineral Slurry</t>
  </si>
  <si>
    <t>Corrosive + Abrasive</t>
  </si>
  <si>
    <t xml:space="preserve"> sea water based mineral Froth</t>
  </si>
  <si>
    <t>Clean / Mild Corrosive</t>
  </si>
  <si>
    <t>Mild Corrosive</t>
  </si>
  <si>
    <t>Standard clean service</t>
  </si>
  <si>
    <t>Hastelloy C-4 / Tungsten Carbide</t>
  </si>
  <si>
    <t>Polyurethane / Linatex Rubber</t>
  </si>
  <si>
    <t>Polyurethane / Hard Rubber</t>
  </si>
  <si>
    <t>FRP / Metal</t>
  </si>
  <si>
    <t>High abrasion – use reinforced liner + hard electrodes</t>
  </si>
  <si>
    <t>Severe abrasion – prioritize predictive monitoring for liner wear</t>
  </si>
  <si>
    <t>Hastelloy C / 316L</t>
  </si>
  <si>
    <t>Clean water service – standard configuration</t>
  </si>
  <si>
    <t>Project</t>
  </si>
  <si>
    <t>Line Size
(DN)</t>
  </si>
  <si>
    <t>Line
Material</t>
  </si>
  <si>
    <t>Grounding Ring
Material</t>
  </si>
  <si>
    <t>Penetrant
Ring</t>
  </si>
  <si>
    <t>Tube
Material</t>
  </si>
  <si>
    <t>Casing
Material</t>
  </si>
  <si>
    <t>Viscosity
(cP)</t>
  </si>
  <si>
    <t>Density
(kg/m³)</t>
  </si>
  <si>
    <t>Normal Flow
(m³/h)</t>
  </si>
  <si>
    <t>Max Flow
(m³/h)</t>
  </si>
  <si>
    <t>Normal
Pressure (bar)</t>
  </si>
  <si>
    <t>Design
Pressure (bar)</t>
  </si>
  <si>
    <t>Normal
Temp (°C)</t>
  </si>
  <si>
    <t>Design
Temp (°C)</t>
  </si>
  <si>
    <t>Max Velocity
(m/s)</t>
  </si>
  <si>
    <t>PMP CAP</t>
  </si>
  <si>
    <t>Q37092-00-IC-DAS-00017</t>
  </si>
  <si>
    <t>28% Sludge to Clarifier</t>
  </si>
  <si>
    <t>Laayoun</t>
  </si>
  <si>
    <t>100% Amine solution</t>
  </si>
  <si>
    <t>Strap</t>
  </si>
  <si>
    <t>SS316</t>
  </si>
  <si>
    <t>SS304</t>
  </si>
  <si>
    <t>JESA Flow App 2024</t>
  </si>
  <si>
    <t>5% Amine solution</t>
  </si>
  <si>
    <t>54% Phosphoric Acid</t>
  </si>
  <si>
    <t>Hast C-4 instead of Tantalum — project specific</t>
  </si>
  <si>
    <t>10% Phosphoric Acid</t>
  </si>
  <si>
    <t>Dilute acid — Hast C-4 sufficient</t>
  </si>
  <si>
    <t>100% Ester solution</t>
  </si>
  <si>
    <t>5% Phosphoric Ester</t>
  </si>
  <si>
    <t>2x Hastelloy C-4</t>
  </si>
  <si>
    <t>Abrasive + non-conductive pipe</t>
  </si>
  <si>
    <t>2x Monel 400</t>
  </si>
  <si>
    <t>Non-conductive pipe. Hast C-4 electrode — differs from Saidi (Monel 400) and PDF (Titanium)</t>
  </si>
  <si>
    <t>CAP</t>
  </si>
  <si>
    <t>54% Strong H3PO4</t>
  </si>
  <si>
    <t>PFA (SS mesh)</t>
  </si>
  <si>
    <t>2x Tantalum</t>
  </si>
  <si>
    <t>Platinum instead of Tantalum — project specific</t>
  </si>
  <si>
    <t>Tantalum for sea water — unusual choice</t>
  </si>
  <si>
    <t>Raw Water</t>
  </si>
  <si>
    <t>Tantalum for raw water — over-specified vs Saidi (Alloy C22)</t>
  </si>
  <si>
    <t>PAP Line F</t>
  </si>
  <si>
    <t>Acid on FRP</t>
  </si>
  <si>
    <t>LP Gland Seal Water</t>
  </si>
  <si>
    <t>MP Gland Seal Water</t>
  </si>
  <si>
    <t>HP Gland Seal Water</t>
  </si>
  <si>
    <t>VHP Gland Seal Water</t>
  </si>
  <si>
    <t>Rock Slurry</t>
  </si>
  <si>
    <t>Conductive rubber = less noise. Confirms MIA/Daoui lesson</t>
  </si>
  <si>
    <t>Soft rubber for process water — unusual choice</t>
  </si>
  <si>
    <t>SS 304 flow tube — cost saving</t>
  </si>
  <si>
    <t>Filtered Water</t>
  </si>
  <si>
    <t>Platinum — over-specified vs Saidi (Alloy C22)</t>
  </si>
  <si>
    <t>Acidic Process Water</t>
  </si>
  <si>
    <t>Process Condensate</t>
  </si>
  <si>
    <t>Platinum vs Saidi (Hastelloy C)</t>
  </si>
  <si>
    <t>Hastelloy C22</t>
  </si>
  <si>
    <t>Hast C22 for sea water — differs from all other sources</t>
  </si>
  <si>
    <t>SAP</t>
  </si>
  <si>
    <t>Caustic Solution</t>
  </si>
  <si>
    <t>Confirms Saidi (Platinum). Connection Box: CS with Epoxy</t>
  </si>
  <si>
    <t>SS305</t>
  </si>
  <si>
    <t>Platinum instead of Tantalum — project specific. Connection Box: CS with Epoxy</t>
  </si>
  <si>
    <t>Platinum — over-specified vs Saidi (Hastelloy C-4)</t>
  </si>
  <si>
    <t>DAP</t>
  </si>
  <si>
    <t>SS304L</t>
  </si>
  <si>
    <t>Die Cast Alu Epoxy</t>
  </si>
  <si>
    <t>Potable Water</t>
  </si>
  <si>
    <t>SIL-Certified</t>
  </si>
  <si>
    <t>Krohne — OPTIFLUX 4400</t>
  </si>
  <si>
    <t>Premium Next-Gen</t>
  </si>
  <si>
    <t>Emerson — 9205+9732</t>
  </si>
  <si>
    <t>Premium Process</t>
  </si>
  <si>
    <t>E+H — Promag P 500</t>
  </si>
  <si>
    <t>Premium Water</t>
  </si>
  <si>
    <t>E+H — Promag W 500</t>
  </si>
  <si>
    <t>Advanced Process</t>
  </si>
  <si>
    <t>Krohne — OPTIFLUX 4300</t>
  </si>
  <si>
    <t>Advanced Water</t>
  </si>
  <si>
    <t>Krohne — OPTIFLUX 2300</t>
  </si>
  <si>
    <t>E+H — Promag P 300</t>
  </si>
  <si>
    <t>Advanced Slurry</t>
  </si>
  <si>
    <t>Emerson — 8707/Slurry</t>
  </si>
  <si>
    <t>Emerson — 8705</t>
  </si>
  <si>
    <t>Standard Abrasive</t>
  </si>
  <si>
    <t>Krohne — OPTIFLUX 5100</t>
  </si>
  <si>
    <t>Standard Process</t>
  </si>
  <si>
    <t>Krohne — OPTIFLUX 4100</t>
  </si>
  <si>
    <t>Standard Water</t>
  </si>
  <si>
    <t>E+H — Promag W 400</t>
  </si>
  <si>
    <t>Krohne — OPTIFLUX 2100</t>
  </si>
  <si>
    <t>Emerson — 8750W</t>
  </si>
  <si>
    <t>Compact/Budget</t>
  </si>
  <si>
    <t>Krohne — OPTIFLUX 1100</t>
  </si>
  <si>
    <t>E+H — Promag P 10</t>
  </si>
  <si>
    <t>E+H — Promag W 10</t>
  </si>
  <si>
    <t>Emerson — 8711 (Wafer)</t>
  </si>
  <si>
    <t>Tier</t>
  </si>
  <si>
    <t>Cost Score (1-5)</t>
  </si>
  <si>
    <t>Vendor — Model</t>
  </si>
  <si>
    <t>D. VENDOR MODELS (Capteur + Transmetteur) — Relative Cost</t>
  </si>
  <si>
    <t>Grounding ring Tantalum (x2)</t>
  </si>
  <si>
    <t>Penetrant ring Hastelloy C-276</t>
  </si>
  <si>
    <t>Grounding ring Monel 400 (x2)</t>
  </si>
  <si>
    <t>Grounding ring Hastelloy C-4 (x2)</t>
  </si>
  <si>
    <t>Q37092-00-IC-DAS-00017 (PMP CAP)</t>
  </si>
  <si>
    <t>Grounding ring 904L SS (x2)</t>
  </si>
  <si>
    <t>Flange coating PTFE</t>
  </si>
  <si>
    <t>O-Ring Viton</t>
  </si>
  <si>
    <t>O-Ring EPDM</t>
  </si>
  <si>
    <t>Grounding strap (conductive pipe)</t>
  </si>
  <si>
    <t>Component</t>
  </si>
  <si>
    <t>C. GROUNDING &amp; PROTECTION — Relative Cost</t>
  </si>
  <si>
    <t>Krohne TD OPTIFLUX 5000</t>
  </si>
  <si>
    <t>PFA+ (Emerson)</t>
  </si>
  <si>
    <t>E+H TI01224D</t>
  </si>
  <si>
    <t>PFA HT (E+H)</t>
  </si>
  <si>
    <t>Emerson / E+H / Krohne datasheets</t>
  </si>
  <si>
    <t>E+H TI01224D, Krohne TD OPTIFLUX 4000</t>
  </si>
  <si>
    <t>Polyurethane (PU)</t>
  </si>
  <si>
    <t>B. LINER MATERIALS — Relative Cost</t>
  </si>
  <si>
    <t>Platinum / Pt-Ir</t>
  </si>
  <si>
    <t>JESA Lessons Learned (MIA/Daoui)</t>
  </si>
  <si>
    <t>Cost Score (1-6)</t>
  </si>
  <si>
    <t>A. ELECTRODE MATERIALS — Relative Cost</t>
  </si>
  <si>
    <t>TD IFC 400</t>
  </si>
  <si>
    <t>193 kWh/an</t>
  </si>
  <si>
    <t>22 W</t>
  </si>
  <si>
    <t>AC: 100-230 VAC / DC: 24 VDC</t>
  </si>
  <si>
    <t>Krohne - OPTIFLUX + IFC 400</t>
  </si>
  <si>
    <t>TD IFC 300</t>
  </si>
  <si>
    <t>Krohne - OPTIFLUX + IFC 300</t>
  </si>
  <si>
    <t>TD IFC 100</t>
  </si>
  <si>
    <t>158 kWh/an</t>
  </si>
  <si>
    <t>18 W</t>
  </si>
  <si>
    <t>Krohne - OPTIFLUX + IFC 100</t>
  </si>
  <si>
    <t>TD IFC 050</t>
  </si>
  <si>
    <t>105 kWh/an</t>
  </si>
  <si>
    <t>12 W</t>
  </si>
  <si>
    <t>AC: 100-230V / DC: 24V</t>
  </si>
  <si>
    <t>Krohne - OPTIFLUX + IFC 050</t>
  </si>
  <si>
    <t>219 kWh/an</t>
  </si>
  <si>
    <t>25 W</t>
  </si>
  <si>
    <t>AC: 100-230 VAC / DC: 20-55 VDC</t>
  </si>
  <si>
    <t>E+H - Promag W/P 400/500</t>
  </si>
  <si>
    <t>175 kWh/an</t>
  </si>
  <si>
    <t>20 W</t>
  </si>
  <si>
    <t>E+H - Promag P 300</t>
  </si>
  <si>
    <t>TI01223D (2-wire)</t>
  </si>
  <si>
    <t>44 kWh/an</t>
  </si>
  <si>
    <t>5 W</t>
  </si>
  <si>
    <t>DC: 18-30 VDC</t>
  </si>
  <si>
    <t>E+H - Promag P 200</t>
  </si>
  <si>
    <t>131 kWh/an</t>
  </si>
  <si>
    <t>15 W</t>
  </si>
  <si>
    <t>E+H - Promag P 10 / 100</t>
  </si>
  <si>
    <t>E+H - Promag W 10/100</t>
  </si>
  <si>
    <t>PDS 00813-0200-4750</t>
  </si>
  <si>
    <t>AC: 90-250V / DC: 12-42V</t>
  </si>
  <si>
    <t>Emerson - 9205</t>
  </si>
  <si>
    <t>Emerson - 8711 / 8707</t>
  </si>
  <si>
    <t>AC: 90-250 VAC / DC: 12-42 VDC</t>
  </si>
  <si>
    <t>Emerson - 8750W</t>
  </si>
  <si>
    <t>Emerson - 8705 + 8732</t>
  </si>
  <si>
    <t>Relative Cost
(20 ans)</t>
  </si>
  <si>
    <t>Annual kWh
(24/7 operation)</t>
  </si>
  <si>
    <t>Consumption (W)</t>
  </si>
  <si>
    <t>C. ÉNERGIE — Consommation par modèle</t>
  </si>
  <si>
    <t>Benchmark industrie</t>
  </si>
  <si>
    <t>8-12 ans</t>
  </si>
  <si>
    <t>5-8 ans</t>
  </si>
  <si>
    <t>10-15 ans</t>
  </si>
  <si>
    <t>Grounding ring</t>
  </si>
  <si>
    <t>Vendor documentation</t>
  </si>
  <si>
    <t>15-20 ans</t>
  </si>
  <si>
    <t>Transmetteur/Converter</t>
  </si>
  <si>
    <t>20+ ans</t>
  </si>
  <si>
    <t>Bobines (Coils)</t>
  </si>
  <si>
    <t>3-5 ans</t>
  </si>
  <si>
    <t>12-15 ans</t>
  </si>
  <si>
    <t>Electrode Hastelloy C-4</t>
  </si>
  <si>
    <t>Electrode Conductive Rubber</t>
  </si>
  <si>
    <t>Electrode Titanium</t>
  </si>
  <si>
    <t>Electrode Platinum</t>
  </si>
  <si>
    <t>Electrode Tantalum</t>
  </si>
  <si>
    <t>Electrode Alloy C22</t>
  </si>
  <si>
    <t>Emerson documentation</t>
  </si>
  <si>
    <t>Liner Neoprene</t>
  </si>
  <si>
    <t>Krohne documentation</t>
  </si>
  <si>
    <t>Liner Ceramic</t>
  </si>
  <si>
    <t>JESA Lessons Learned</t>
  </si>
  <si>
    <t>Liner Soft Rubber</t>
  </si>
  <si>
    <t>10-12 ans</t>
  </si>
  <si>
    <t>Liner PTFE</t>
  </si>
  <si>
    <t>Liner PFA</t>
  </si>
  <si>
    <t>Slurries /
Abrasive</t>
  </si>
  <si>
    <t>Acides /
Acid services</t>
  </si>
  <si>
    <t>Eau / Water
services</t>
  </si>
  <si>
    <t>Composant</t>
  </si>
  <si>
    <t>B. DURÉE DE VIE ESTIMÉE DES COMPOSANTS (années)</t>
  </si>
  <si>
    <t>-30%</t>
  </si>
  <si>
    <t>4-6h</t>
  </si>
  <si>
    <t>Mineral froth / mineral slurry</t>
  </si>
  <si>
    <t>-50%</t>
  </si>
  <si>
    <t>2-4h</t>
  </si>
  <si>
    <t>Benchmark industrie + MIA/Daoui</t>
  </si>
  <si>
    <t>TSP / Ammonium phosphate slurry</t>
  </si>
  <si>
    <t>98% Sulfuric acid</t>
  </si>
  <si>
    <t>Filtered water / Process water</t>
  </si>
  <si>
    <t>Eau potable / Raw water</t>
  </si>
  <si>
    <t>Fréquence étendue
(mois)</t>
  </si>
  <si>
    <t>Réduction avec
SMV/Heartbeat/OPTICHECK</t>
  </si>
  <si>
    <t>Temps arrêt
(heures)</t>
  </si>
  <si>
    <t>Fréquence calibration
(mois)</t>
  </si>
  <si>
    <t>Type de fluide</t>
  </si>
  <si>
    <t>A. CALIBRATION — Fréquence et coût par type de fluide</t>
  </si>
  <si>
    <t>6. Source des scores : JESA Internal DB — Ahmed Saidi 2021, JESA Material Selection DB (PDF), Vendor datasheets (Emerson/E+H/Krohne), Benchmark industrie.</t>
  </si>
  <si>
    <t>5. Les durées de vie dans l'onglet OPEX sont des estimations benchmark. Les vraies valeurs nécessitent les données maintenance OCP.</t>
  </si>
  <si>
    <t>4. Le modèle AI doit calculer le TCO complet en incluant : nombre de remplacements × coût composant + calibrations × coût calibration + temps d'arrêt × coût horaire.</t>
  </si>
  <si>
    <t>3. Exemple : Config 5 (rock slurry Emerson, score 8) a un CAPEX plus bas que Config 6 (Krohne, score 15), mais le liner soft rubber dure 3-5 ans vs ceramic 10-15 ans.</t>
  </si>
  <si>
    <t>2. Le TCO réel = CAPEX Score + (OPEX annuel × durée de vie). Les configurations à CAPEX élevé peuvent avoir un OPEX plus bas.</t>
  </si>
  <si>
    <t>1. Les scores sont des indices relatifs, PAS des prix réels. Score 1 = le moins cher dans sa catégorie, Score 6 = le plus cher.</t>
  </si>
  <si>
    <t>NOTES IMPORTANTES:</t>
  </si>
  <si>
    <t>Spécial — configuration imposée par les conditions extrêmes (rock slurry, SIL, haute pression). Coût élevé mais pas d'alternative</t>
  </si>
  <si>
    <t>Score 21+</t>
  </si>
  <si>
    <t>Premium — configuration haute performance nécessaire pour fluides agressifs (acides forts, slurries)</t>
  </si>
  <si>
    <t>Score 16-20</t>
  </si>
  <si>
    <t>Standard — bon compromis qualité/prix pour la majorité des applications JESA (acides modérés, eaux industrielles)</t>
  </si>
  <si>
    <t>Score 11-15</t>
  </si>
  <si>
    <t>Budget optimal — configuration économique, adaptée pour fluides non-agressifs (eau, condensat)</t>
  </si>
  <si>
    <t>Score 6-10</t>
  </si>
  <si>
    <t>GUIDE D'INTERPRÉTATION DU SCORE TCO</t>
  </si>
  <si>
    <t>EPDM + None (1)</t>
  </si>
  <si>
    <t>Strap (1)</t>
  </si>
  <si>
    <t>PTFE (2)</t>
  </si>
  <si>
    <t>Hast. C (3)</t>
  </si>
  <si>
    <t>Promag W 400 (2)</t>
  </si>
  <si>
    <t>HP Gland seal water</t>
  </si>
  <si>
    <t>Config 12 — Gland seal</t>
  </si>
  <si>
    <t>Viton + PTFE coat (1)</t>
  </si>
  <si>
    <t>PFA (3)</t>
  </si>
  <si>
    <t>Platinum (6)</t>
  </si>
  <si>
    <t>Promag P 300 (3)</t>
  </si>
  <si>
    <t>FSA</t>
  </si>
  <si>
    <t>Config 11 — FSA</t>
  </si>
  <si>
    <t>2x Ta rings (4)</t>
  </si>
  <si>
    <t>Tantalum (5)</t>
  </si>
  <si>
    <t>OPTIFLUX 4400 (5)</t>
  </si>
  <si>
    <t>98% H2SO4</t>
  </si>
  <si>
    <t>Config 10 — SIL acid</t>
  </si>
  <si>
    <t>Viton + PTFE + PR (2)</t>
  </si>
  <si>
    <t>2x Hast C-4 (3)</t>
  </si>
  <si>
    <t>Hast. C-4 (3)</t>
  </si>
  <si>
    <t>OPTIFLUX 4300 (4)</t>
  </si>
  <si>
    <t>Mineral froth</t>
  </si>
  <si>
    <t>Config 9 — Mineral slurry</t>
  </si>
  <si>
    <t>2x Monel rings (3)</t>
  </si>
  <si>
    <t>Neoprene (1)</t>
  </si>
  <si>
    <t>Titanium (4)</t>
  </si>
  <si>
    <t>8705 (3)</t>
  </si>
  <si>
    <t>Config 8 — Sea water Emerson</t>
  </si>
  <si>
    <t>Monel 400 (3)</t>
  </si>
  <si>
    <t>OPTIFLUX 4100 (3)</t>
  </si>
  <si>
    <t>Config 7 — Sea water std</t>
  </si>
  <si>
    <t>Viton + PTFE coat + PR (2)</t>
  </si>
  <si>
    <t>N/A (0)</t>
  </si>
  <si>
    <t>Ceramic (4)</t>
  </si>
  <si>
    <t>OPTIFLUX 5100 (3)</t>
  </si>
  <si>
    <t>Config 6 — Slurry Krohne</t>
  </si>
  <si>
    <t>Soft rubber (1)</t>
  </si>
  <si>
    <t>Cond. rubber (2)</t>
  </si>
  <si>
    <t>8707 Slurry (3)</t>
  </si>
  <si>
    <t>Config 5 — Slurry Emerson</t>
  </si>
  <si>
    <t>PFA+ (4)</t>
  </si>
  <si>
    <t>Strong H3PO4</t>
  </si>
  <si>
    <t>Config 4 — Acid premium</t>
  </si>
  <si>
    <t>Config 3 — Acid standard</t>
  </si>
  <si>
    <t>Hard rubber (1)</t>
  </si>
  <si>
    <t>Alloy C22 (3)</t>
  </si>
  <si>
    <t>Promag W 500 (4)</t>
  </si>
  <si>
    <t>Config 2 — Water premium</t>
  </si>
  <si>
    <t>OPTIFLUX 2100 (2)</t>
  </si>
  <si>
    <t>Config 1 — Water budget</t>
  </si>
  <si>
    <t>TOTAL
CAPEX Score</t>
  </si>
  <si>
    <t>Accessories
(Score)</t>
  </si>
  <si>
    <t>Grounding
(Score)</t>
  </si>
  <si>
    <t>Liner
(Score)</t>
  </si>
  <si>
    <t>Electrode
(Score)</t>
  </si>
  <si>
    <t>Model
(Score)</t>
  </si>
  <si>
    <t>Fluid</t>
  </si>
  <si>
    <t>Configuration</t>
  </si>
  <si>
    <t>TCO SCORING — Exemples de configurations complètes JESA</t>
  </si>
  <si>
    <t>11 magflows</t>
  </si>
  <si>
    <t>TSP OSBL &amp; Piperack</t>
  </si>
  <si>
    <t>18 magflows</t>
  </si>
  <si>
    <t>TSP Adaptation JFC 2&amp;4</t>
  </si>
  <si>
    <t>52 magflows</t>
  </si>
  <si>
    <t>Mining 5.0 Beni Amir</t>
  </si>
  <si>
    <t>1 magflows</t>
  </si>
  <si>
    <t>Jorf/Safi Desalinated Water Pipelines</t>
  </si>
  <si>
    <t>2 magflows</t>
  </si>
  <si>
    <t>CAP SAFI Existing Site</t>
  </si>
  <si>
    <t>Original entries: 58 | New entries: 84 | Grand total: 142</t>
  </si>
  <si>
    <t>UPDATED SUMMARY</t>
  </si>
  <si>
    <t>QW212201-04-IC-DAS-00001-002</t>
  </si>
  <si>
    <t>DN 1600, 150# FF AWWA C207 Class D, FRP pipe, 220V AC</t>
  </si>
  <si>
    <t>0.5% of full scale</t>
  </si>
  <si>
    <t>Rings or electrodes SS 316L</t>
  </si>
  <si>
    <t>Hard Rubber / Ebonite</t>
  </si>
  <si>
    <t>SS 316L</t>
  </si>
  <si>
    <t>FRP (Fiberglass)</t>
  </si>
  <si>
    <t>Flow measurement in water pipeline — Potable Water</t>
  </si>
  <si>
    <t>187-FIT-911</t>
  </si>
  <si>
    <t>Q80130-CSP-E10-IC-DAS-0002</t>
  </si>
  <si>
    <t>Tube: 316L SS, Flange: 316L SS, 300# RF</t>
  </si>
  <si>
    <t>± 0.2% of Flowrate</t>
  </si>
  <si>
    <t>Grounding Straps SS316L</t>
  </si>
  <si>
    <t>54% Phosphoric Acid from Storage Tanks MP1 to SPH — 54% Phosphoric Acid</t>
  </si>
  <si>
    <t>E10-FIT-404</t>
  </si>
  <si>
    <t>E10-FIT-401</t>
  </si>
  <si>
    <t>Q12203-01-IC-DAS-00005</t>
  </si>
  <si>
    <t>± 0.5% of Measured Span</t>
  </si>
  <si>
    <t>Ring &amp; Grounding Strap Hastelloy C</t>
  </si>
  <si>
    <t>VTS</t>
  </si>
  <si>
    <t>Flotation cells FC009-Product Flow — Slurry</t>
  </si>
  <si>
    <t>1315-FIT-5355</t>
  </si>
  <si>
    <t>Flotation cells FC001-Product Flow — Slurry</t>
  </si>
  <si>
    <t>1315-FIT-4755</t>
  </si>
  <si>
    <t>Grounding Strap SS316</t>
  </si>
  <si>
    <t>SS ASTM A312-TP316L</t>
  </si>
  <si>
    <t>Phosphoric Acid Mixing Tank Dosing Flow Measurement — Phosphoric Ester</t>
  </si>
  <si>
    <t>1317-FIT-6903</t>
  </si>
  <si>
    <t>CS ASTM A53 Gr B</t>
  </si>
  <si>
    <t>Phosphoric Acid Mixing Tank Raw Water Flow Measurement — Raw Water</t>
  </si>
  <si>
    <t>1317-FIT-6904</t>
  </si>
  <si>
    <t>Amine Mixing Tank Dosing Flow Measurement — Amine</t>
  </si>
  <si>
    <t>1317-FIT-6803</t>
  </si>
  <si>
    <t>Amine Mixing Tank Raw Water Flow Measurement — Raw Water</t>
  </si>
  <si>
    <t>1317-FIT-6804</t>
  </si>
  <si>
    <t>Process Water Pump No. 4 to No. 6 Discharge — Raw Water</t>
  </si>
  <si>
    <t>1318-FIT-7306B</t>
  </si>
  <si>
    <t>Raw Water to Process Water Pond — Raw Water</t>
  </si>
  <si>
    <t>1318-FIT-7202</t>
  </si>
  <si>
    <t>Raw Water Pump No.1/ No.2/ No.3/ No. 4 Discharge — Raw Water</t>
  </si>
  <si>
    <t>1318-FIT-7501</t>
  </si>
  <si>
    <t>Combined Tails Transfer Pump No. A2/ C2 Discharge — Process Slurry</t>
  </si>
  <si>
    <t>1316-FIT-9801</t>
  </si>
  <si>
    <t>Raw Water Pump Discharge — Raw Water</t>
  </si>
  <si>
    <t>1318-FIT-7502</t>
  </si>
  <si>
    <t>HT/MT Thickener Underflow Pump No. 1/ No.2 Discharge — Process Slurry</t>
  </si>
  <si>
    <t>1316-FIT-6201</t>
  </si>
  <si>
    <t>BT/TBT Thickener Product Flow post pumps — Process Slurry</t>
  </si>
  <si>
    <t>1316-FIT-6001</t>
  </si>
  <si>
    <t>BT/TBT Thickener Flocculant Mixer Outlet — Flocculant</t>
  </si>
  <si>
    <t>1316-FIT-5903</t>
  </si>
  <si>
    <t>Tails Thickener A Underflow Pump No.1 / No.2 Discharge — Process Slurry</t>
  </si>
  <si>
    <t>1316-FIT-9401</t>
  </si>
  <si>
    <t>Tails Thickener Inline Flocculant Mixer Outlet — Flocculant</t>
  </si>
  <si>
    <t>1316-FIT-6503</t>
  </si>
  <si>
    <t>Raw Water to BT/TBT Flotation Circuit A Conditioner Tank 1 — Raw Water</t>
  </si>
  <si>
    <t>1315-FIT-4601</t>
  </si>
  <si>
    <t>BT/TBT Flotation Circuit A Cyclone Feed Pump No. 1/ No. 2 Discharge — Process Slurry</t>
  </si>
  <si>
    <t>1315-FIT-5101</t>
  </si>
  <si>
    <t>Raw Water to BT/TBT Flotation Circuit B Feed Dilution Box — Raw Water</t>
  </si>
  <si>
    <t>1315-FIT-5203</t>
  </si>
  <si>
    <t>Raw Water to BT/TBT Flotation Circuit A Feed Dilution Box — Raw Water</t>
  </si>
  <si>
    <t>1315-FIT-4603</t>
  </si>
  <si>
    <t>BT/TBT Regrind Circuit Feed Pump No.1 / No. 2 Discharge — Process Slurry</t>
  </si>
  <si>
    <t>1314-FIT-3601</t>
  </si>
  <si>
    <t>BT/TBT Prod Thickener Feed Pump No. 2 / No. 3 Discharge — Process Slurry</t>
  </si>
  <si>
    <t>1314-FIT-3603</t>
  </si>
  <si>
    <t>Process Water to BT/TBT Product Combination Tank — Process Water</t>
  </si>
  <si>
    <t>1314-FIT-3609</t>
  </si>
  <si>
    <t>Process Water to HT/MT Ball Mill B Feed Transition Chute — Process Water</t>
  </si>
  <si>
    <t>1314-FIT-4301</t>
  </si>
  <si>
    <t>Process Water to HT/MT Ball Mill A Feed Transition Chute — Process Water</t>
  </si>
  <si>
    <t>1314-FIT-4201</t>
  </si>
  <si>
    <t>Process Water to BT/TBT Ball Mill A Feed Transition Chute — Process Water</t>
  </si>
  <si>
    <t>1314-FIT-3401</t>
  </si>
  <si>
    <t>BT Regrind Blend Pump No.1 / No. 2 Discharge — Process Slurry</t>
  </si>
  <si>
    <t>1314-FIT-4401</t>
  </si>
  <si>
    <t>BT/TBT Regrind Mill Discharge Pump No.2 / No.3 Discharge — Process Slurry</t>
  </si>
  <si>
    <t>1314-FIT-3707</t>
  </si>
  <si>
    <t>Process Water to HT/MT Ball Mill Discharge Pump — Process Water</t>
  </si>
  <si>
    <t>1314-FIT-4101</t>
  </si>
  <si>
    <t>BT/TBT Ball Mill Discharge Pump No. 2 / No. 3 Discharge — Process Slurry</t>
  </si>
  <si>
    <t>1314-FIT-3307</t>
  </si>
  <si>
    <t>Process Water to BT/TBT Ball Mill Discharge Pump — Process Water</t>
  </si>
  <si>
    <t>1314-FIT-3301</t>
  </si>
  <si>
    <t>BT/TBT Deslime Circuit Feed Pump No.2 / No. 3 Discharge — Process Slurry</t>
  </si>
  <si>
    <t>1313-FIT-2201B</t>
  </si>
  <si>
    <t>BT/TBT Deslime Circuit Feed Pump No.1 / No. 2 Discharge — Process Slurry</t>
  </si>
  <si>
    <t>1313-FIT-2201A</t>
  </si>
  <si>
    <t>Process Water to BT/TBT Combined Deslime Circuit Feed Tank — Process Water</t>
  </si>
  <si>
    <t>1313-FIT-2206</t>
  </si>
  <si>
    <t>HT/MT Deslime Circuit Prod Pump No.1 / No. 2 Discharge — Process Slurry</t>
  </si>
  <si>
    <t>1313-FIT-3004</t>
  </si>
  <si>
    <t>BT/TBT Attritioner B Discharge Pump No.1 /No. 2 Discharge — Process Slurry</t>
  </si>
  <si>
    <t>1313-FIT-2804</t>
  </si>
  <si>
    <t>BT/TBT Attritioner A Discharge Pump No.1/ No. 2 Discharge — Process Slurry</t>
  </si>
  <si>
    <t>1313-FIT-2504</t>
  </si>
  <si>
    <t>Process Water to BT/TBT Attritioner A Discharge Pump Box — Process Water</t>
  </si>
  <si>
    <t>1313-FIT-2501</t>
  </si>
  <si>
    <t>Process Water to BT/TBT Dewatering Cyclone A Feed Pump Box — Process Water</t>
  </si>
  <si>
    <t>1313-FIT-2301</t>
  </si>
  <si>
    <t>HT/MT Secondary Cyclone Cluster Return Flow — Process Slurry</t>
  </si>
  <si>
    <t>1312-FIT-1606</t>
  </si>
  <si>
    <t>Process Water to HT/MT Scrubber — Process Water</t>
  </si>
  <si>
    <t>1312-FIT-1602</t>
  </si>
  <si>
    <t>BT/TBT Secondary Cyclone Cluster Return Flow — Process Slurry</t>
  </si>
  <si>
    <t>1312-FIT-1206</t>
  </si>
  <si>
    <t>Process Water to BT/TBT Scrubber Feed Transition Chute — Process Water</t>
  </si>
  <si>
    <t>1312-FIT-1202</t>
  </si>
  <si>
    <t>HT/MT Secondary Cyclone Underflow Pump No.1 / No.2 Discharge — Process Slurry</t>
  </si>
  <si>
    <t>1312-FIT-1904</t>
  </si>
  <si>
    <t>HT/MT Primary Underflow Pump No.1 / No. 2 Discharge — Process Slurry</t>
  </si>
  <si>
    <t>1312-FIT-1804</t>
  </si>
  <si>
    <t>Process Water to HT/MT Primary Cyclone Underflow Pump Box — Process Water</t>
  </si>
  <si>
    <t>1312-FIT-1801</t>
  </si>
  <si>
    <t>HT/MT Scrubber Discharge Pump No.1 / No. 2 Discharge — Process Slurry</t>
  </si>
  <si>
    <t>1312-FIT-1704</t>
  </si>
  <si>
    <t>Process Water to HT/MT Scrubber Discharge Pump Box — Process Water</t>
  </si>
  <si>
    <t>1312-FIT-1701</t>
  </si>
  <si>
    <t>Process Water to BT/TBT Secondary Cyclone Underflow Pump Box — Process Water</t>
  </si>
  <si>
    <t>1312-FIT-1501</t>
  </si>
  <si>
    <t>Process Water to BT/TBT Primary Cyclone Underflow Pump Box — Process Water</t>
  </si>
  <si>
    <t>1312-FIT-1401</t>
  </si>
  <si>
    <t>BT/TBT Scrubber Discharge Pump No.1 / No. 2 Discharge — Process Slurry</t>
  </si>
  <si>
    <t>1312-FIT-1304</t>
  </si>
  <si>
    <t>Process Water to BT/TBT Scrubber Discharge Pump Box — Process Water</t>
  </si>
  <si>
    <t>1312-FIT-1301</t>
  </si>
  <si>
    <t>Q36223-00-00-IC-DAS-00004</t>
  </si>
  <si>
    <t>Unit</t>
  </si>
  <si>
    <t>+/-0.2% OF Flow Rate</t>
  </si>
  <si>
    <t>Quantity</t>
  </si>
  <si>
    <t>PTFE/PFA</t>
  </si>
  <si>
    <t>Carbon Steel</t>
  </si>
  <si>
    <t>POTABLE WATER FROM POTABLE WATER TANK TO HEADER — POTABLE WATER</t>
  </si>
  <si>
    <t>530-FE/FIT-463 (Deleted)</t>
  </si>
  <si>
    <t>POTABLE WATER FROM HEADER TO TSP 2 — POTABLE WATER</t>
  </si>
  <si>
    <t>530-FE/FIT-462 (Deleted)</t>
  </si>
  <si>
    <t>POTABLE WATER FROM HEADER TO TSP 1 — POTABLE WATER</t>
  </si>
  <si>
    <t>530-FE/FIT-461 (Deleted)</t>
  </si>
  <si>
    <t>POTABLE WATER FROM JPH TP 005 — POTABLE WATER</t>
  </si>
  <si>
    <t>530-FE/FIT-460 (Deleted)</t>
  </si>
  <si>
    <t>RAW WATER FROM RAW WATER TANK 330-A-TK-001 TO PA PUMP 330-A-P-001 — RAW WATER</t>
  </si>
  <si>
    <t>330-FE/FIT-454</t>
  </si>
  <si>
    <t>Stainless Steel 316/316L (DUAL)</t>
  </si>
  <si>
    <t>98% SULFURIC FROM SULFURIC ACID  DUTY FEED PUMP  320-B-P-001 TO TSP2 — 98% SULFURIC ACID</t>
  </si>
  <si>
    <t>320-FE/FIT-418</t>
  </si>
  <si>
    <t>98% SULFURIC ACID FROM SULFURIC ACID  DUTY FEED PUMP  320-A-P-001 TO TSP1 — 98% SULFURIC ACID</t>
  </si>
  <si>
    <t>320-FE/FIT-417</t>
  </si>
  <si>
    <t>98% SULFURIC ACID TO  SULFURIC ACID STORAGE TANK A — 98% SULFURIC ACID</t>
  </si>
  <si>
    <t>320-FE/FIT-416</t>
  </si>
  <si>
    <t>54% PHOSPHORIC ACID FROM 54% PHOSPHORIC ACID TRANSFER (DUTY) 310-B-P-001 TO TSP 2 UNIT — 54% PHOSPHORIC ACID</t>
  </si>
  <si>
    <t>310-FE/FIT-403</t>
  </si>
  <si>
    <t>54% PHOSPHORIC ACID FROM 54% PHOSPHORIC ACID TRANSFER (DUTY) 310-A-P-001 TO TSP 1 UNIT — 54% PHOSPHORIC ACID</t>
  </si>
  <si>
    <t>310-FE/FIT-402</t>
  </si>
  <si>
    <t>54% PHOSPHORIC ACID FROM FLEXIBILITY LINE
JPH 2 FEEDING DAP 107 TO 54% PHOSPHORIC ACID STORAGE TANK 310-A-TK-001 — 54% PHOSPHORIC ACID</t>
  </si>
  <si>
    <t>310-FE/FIT-401</t>
  </si>
  <si>
    <t>Q36215-JFC2T4-02-IC-DAS-00003</t>
  </si>
  <si>
    <t>+/-0.5% OF FLOW</t>
  </si>
  <si>
    <t>Grounding ring : (Same as flow tube material)</t>
  </si>
  <si>
    <t>TSP Slurry From Slurry Pump 707AAP11 To 707AAM02 — Calcium Phosphate Slurry</t>
  </si>
  <si>
    <t>707A-FE/FIT-878</t>
  </si>
  <si>
    <t>TSP Slurry From Slurry Pump 707AKP11 To 707AAM02 — Calcium Phosphate Slurry</t>
  </si>
  <si>
    <t>707A-FE/FIT-879</t>
  </si>
  <si>
    <t>Acid Scrubber Liquor Mix From Cone Mixer Feed Pump 707AAP17 Outlet To 707AAM05 — Acid Scrubber Liquor Mix</t>
  </si>
  <si>
    <t>707A-FE/FIT-905</t>
  </si>
  <si>
    <t>Acid Scrubber Liquor Mix From Cone Mixer Feed Pump 707AKP17 Outlet To 707AAM05 — Acid Scrubber Liquor Mix</t>
  </si>
  <si>
    <t>707A-FE/FIT-912</t>
  </si>
  <si>
    <t>80-</t>
  </si>
  <si>
    <t>Acid Scrubber Liquor Mix From Cone Mixer Feed Pumps 707AAP17 &amp; 707AKP17 Bypass to Strong Phosphoric Acid Tank 707AAR29 — Acid Scrubber Liquor Mix</t>
  </si>
  <si>
    <t>707A-FE/FIT-922</t>
  </si>
  <si>
    <t>316/316L SS (DUAL)</t>
  </si>
  <si>
    <t>Strong Phosphoric Acid From Header To Strong Phosphoric Acid Tank 707AAR29 — Strong Phosphoric Acid</t>
  </si>
  <si>
    <t>707A-FE/FIT-920</t>
  </si>
  <si>
    <t>Scrubber Liquor From Dryer Prescrubber Pumps 707AAP12 &amp; 707AKP12 TO Dryer Prescrubber 707AAD06 — Scrubber Liquor</t>
  </si>
  <si>
    <t>707A-FE/FIT-960</t>
  </si>
  <si>
    <t>Scrubber Liquor From Dryer Prescrubber Pumps 707AAP12 &amp; 707AKP12 Outlet To Header — Scrubber Liquor</t>
  </si>
  <si>
    <t>707A-FE/FIT-980</t>
  </si>
  <si>
    <t>Scrubber Liquor From Primary Scrubber 707AAR02 To Dryer Prescrubber 707AAD06 Inlet — Scrubber Liquor</t>
  </si>
  <si>
    <t>707A-FE/FIT-963</t>
  </si>
  <si>
    <t>TSP Slurry From Slurry Pump 507AAP11 To 507AAM02 — Calcium Phosphate Slurry</t>
  </si>
  <si>
    <t>507A-FE/FIT-878</t>
  </si>
  <si>
    <t>TSP Slurry From Slurry Pump 507AKP11 To 507AAM02 — Calcium Phosphate Slurry</t>
  </si>
  <si>
    <t>507A-FE/FIT-879</t>
  </si>
  <si>
    <t>Acid Scrubber Liquor Mix From Cone Mixer Feed Pump 507AAP17 Outlet To 507AAM05 — Acid Scrubber Liquor Mix</t>
  </si>
  <si>
    <t>507A-FE/FIT-905</t>
  </si>
  <si>
    <t>Acid Scrubber Liquor Mix From Cone Mixer Feed Pump 507AKP17 Outlet To 507AAM05 — Acid Scrubber Liquor Mix</t>
  </si>
  <si>
    <t>507A-FE/FIT-912</t>
  </si>
  <si>
    <t>Acid Scrubber Liquor Mix From Cone Mixer Feed Pumps 507AAP17 &amp; 507AKP17 Bypass to Strong Phosphoric Acid Tank 507AAR29 — Acid Scrubber Liquor Mix</t>
  </si>
  <si>
    <t>507A-FE/FIT-922</t>
  </si>
  <si>
    <t>Strong Phosphoric Acid From Header To Strong Phosphoric Acid Tank 507AAR29 — Strong Phosphoric Acid</t>
  </si>
  <si>
    <t>507A-FE/FIT-920</t>
  </si>
  <si>
    <t>Scrubber Liquor From Dryer Prescrubber Pumps 507AAP12 &amp; 507AKP12 TO Dryer Prescrubber 507AAD06 — Scrubber Liquor</t>
  </si>
  <si>
    <t>507A-FE/FIT-960</t>
  </si>
  <si>
    <t>Scrubber Liquor From Dryer Prescrubber Pumps 507AAP12 &amp; 507AKP12 Outlet To Header — Scrubber Liquor</t>
  </si>
  <si>
    <t>507A-FE/FIT-980</t>
  </si>
  <si>
    <t>Scrubber Liquor From Primary Scrubber 507AAR02 To Dryer Prescrubber 507AAD06 Inlet — Scrubber Liquor</t>
  </si>
  <si>
    <t>507A-FE/FIT-963</t>
  </si>
  <si>
    <t>Tungsten Carbide</t>
  </si>
  <si>
    <t xml:space="preserve">Extremely High </t>
  </si>
  <si>
    <t>Krohne OPTIFLUX 5000 documentation</t>
  </si>
  <si>
    <t>Mining applications only. Not chemically resistant — purely mechanical resistance.</t>
  </si>
  <si>
    <t>Availability</t>
  </si>
  <si>
    <t>Standard</t>
  </si>
  <si>
    <t>Special order</t>
  </si>
  <si>
    <t>Standard (Krohne only)</t>
  </si>
  <si>
    <t>Standard (E+H only)</t>
  </si>
  <si>
    <t>Standard (Emerson only)</t>
  </si>
  <si>
    <t>Special order (Emerson only)</t>
  </si>
  <si>
    <t>Not available</t>
  </si>
  <si>
    <t>Temperature deviation</t>
  </si>
  <si>
    <t>Process temperature exceeds liner rating or deviates from design</t>
  </si>
  <si>
    <t>Process temperature sensor + transmitter ambient temperature monitoring</t>
  </si>
  <si>
    <t>Process upset, heat exchanger failure, ambient conditions</t>
  </si>
  <si>
    <t>Verify process temperature, check liner temperature rating</t>
  </si>
  <si>
    <t>Yes — Electronics Temperature monitoring</t>
  </si>
  <si>
    <t>Yes — Heartbeat monitors ambient and process temperature</t>
  </si>
  <si>
    <t>Yes — OPTIFLUX 4400 ambient/process temperature monitoring</t>
  </si>
  <si>
    <t>PFA liner fails above 150°C (standard) or 180°C (HT). Soft rubber fails above 60°C. Temperature excursion = liner damage risk</t>
  </si>
  <si>
    <t>Flow profile disturbance</t>
  </si>
  <si>
    <t>Upstream piping changes or valve position affects measurement accuracy</t>
  </si>
  <si>
    <t>Signal symmetry check between electrodes</t>
  </si>
  <si>
    <t>Insufficient straight run upstream (&lt;5D), partially open valve, pump pulsation</t>
  </si>
  <si>
    <t>Verify installation meets 5D upstream / 3D downstream requirement. Check valve positions</t>
  </si>
  <si>
    <t>Partial — detected via process noise increase</t>
  </si>
  <si>
    <t>Partial — Heartbeat detects asymmetric flow</t>
  </si>
  <si>
    <t>Yes — OPTIFLUX 4400 explicitly detects disturbed flow profiles</t>
  </si>
  <si>
    <t>Common issue at OCP plants where piping is congested. Affects accuracy without triggering other alarms</t>
  </si>
  <si>
    <t>Conductivity change</t>
  </si>
  <si>
    <t>Process fluid composition has changed or contamination detected</t>
  </si>
  <si>
    <t>Conductivity measurement via transmitter (built-in on all magflows)</t>
  </si>
  <si>
    <t>Process upset, dilution, concentration change, contamination</t>
  </si>
  <si>
    <t>Verify process conditions, check upstream operations</t>
  </si>
  <si>
    <t>Yes — continuous conductivity monitoring</t>
  </si>
  <si>
    <t>Yes — Heartbeat Monitoring tracks conductivity trends</t>
  </si>
  <si>
    <t>Yes — OPTIFLUX 4400 detects conductivity changes automatically</t>
  </si>
  <si>
    <t>Critical for demineralized water (can drop below 5 µS/cm) and for acids (concentration change = different electrode requirement)</t>
  </si>
  <si>
    <t>Yes — Heartbeat Verification checks grounding impedance. Must be &lt;1 Ohm per E+H specification. Detected during commissioning and periodic verification</t>
  </si>
  <si>
    <t>Yes — Virtual Reference on IFC 300 eliminates the need for grounding rings entirely (non-SIL applications only). On IFC 400 (SIL), physical grounding remains mandatory. OPTIFLUX 4400 detects external magnetic fields that may indicate grounding issues</t>
  </si>
  <si>
    <t>Yes — Heartbeat Monitoring continuously tracks noise levels and trends over time. Noise increase triggers warning alarm. Historical trending helps predict liner degradation before failure</t>
  </si>
  <si>
    <t>Yes — Dual-frequency excitation on IFC 300/400 actively suppresses process noise by combining low-frequency signal (accuracy) with high-frequency signal (noise rejection). OPTIFLUX 4400 automatically detects gas bubbles and solids content changes</t>
  </si>
  <si>
    <t>Yes — Heartbeat Verification confirms meter is operating within specified measuring tolerance over its entire useful lifetime. Generates traceable verification report (ISO 17025 compatible) that can replace wet calibration in some applications. Detects span shift through coil and electrode parameter trending</t>
  </si>
  <si>
    <t>Partial — OPTICHECK service tool provides on-site verification of calibration status. Long-term stability specified at ±0.1% of measured value. IFC 300/400 store factory calibration data for comparison. No continuous span monitoring like Heartbeat</t>
  </si>
  <si>
    <t>Yes — Heartbeat Diagnostics monitors all relevant supply voltages, overvoltage protection, low-side current, shield driver circuit, and overall system condition. Detects component degradation before complete failure. Alerts via HART/PROFIBUS/Ethernet with NAMUR NE 107 compliant status codes (failure, function check, out of specification, maintenance required)</t>
  </si>
  <si>
    <t>Yes — OPTIFLUX 4400 (IFC 400) has the most advanced self-test with diagnostic test interval including fault response time of only 2 minutes. Detects external magnetic fields, disturbed flow profiles, and electronics failures simultaneously. IFC 100/300 have basic continuous self-test with longer response time</t>
  </si>
  <si>
    <t>Emerson PDS 00813-0100-4444 (Table 2), E+H SD01847DEN (Promag 400 Heartbeat), Krohne OPTIFLUX 4400 product page</t>
  </si>
  <si>
    <t xml:space="preserve">All 3 vendors provide continuous self-test as standard on all models — no additional configuration needed. Common root causes: power supply instability (voltage spikes or drops), extreme ambient temperature (&gt;60°C or &lt;-20°C), moisture ingress into terminal compartment (IP rating compromised), component aging (typically after 15+ years). If self-test fails: first check power supply stability, then check ambient conditions, then check cable gland tightness. If persistent → replace converter/transmitter. </t>
  </si>
  <si>
    <t>Emerson White Paper 88128, E+H SD03129DEN, Krohne TD OPTIFLUX 4000</t>
  </si>
  <si>
    <t xml:space="preserve">Span drift is caused by coil aging (magnetic field weakening), electrode surface changes, or EMI. Emerson detects via Coil Signature (measures magnetic field strength — any change = calibration shift). If span drift exceeds ±0.5%, recalibration required. If coil signature has shifted, sensor may need replacement. </t>
  </si>
  <si>
    <t>JESA Lessons Learned Note 6, E+H BA01063DEN, Krohne IFC 300 TD</t>
  </si>
  <si>
    <t xml:space="preserve">Non-conductive pipes (FRP, PVC, HDPE, rubber-lined) always require grounding rings. Conductive pipes (SS, CS) need grounding straps only. Grounding ring material must match fluid: Tantalum for acids, Monel 400 for sea water, Hastelloy C-4 for mineral slurries. </t>
  </si>
  <si>
    <t>Emerson Manual 00809-0100-4727, Krohne OPTIFLUX 4400 product page</t>
  </si>
  <si>
    <t>Max velocity 3 m/s recommended for slurries (App 2024), 6 m/s absolute maximum (JESA Lessons Learned). High velocity = more noise = faster liner wear. Emerson 8707 uses High-Signal excitation (10x coil current) as alternative to dual-frequency.</t>
  </si>
  <si>
    <t>Baseline Method</t>
  </si>
  <si>
    <t>Risk Level Rule</t>
  </si>
  <si>
    <t>Set at commissioning, compare periodically</t>
  </si>
  <si>
    <t>Baseline noise level at stable flow</t>
  </si>
  <si>
    <t>Abrasive fluid = High, Corrosive = Medium, Clean = Low</t>
  </si>
  <si>
    <t>Slurry/multiphase = High, Acid = Medium, Water = Low</t>
  </si>
  <si>
    <t>Zero-point recorded at commissioning</t>
  </si>
  <si>
    <t>Same for all fluids — always Low</t>
  </si>
  <si>
    <t>EPD configured at commissioning</t>
  </si>
  <si>
    <t>Gravity drain/pump shutdown applications = Medium, others = Low</t>
  </si>
  <si>
    <t>Coil resistance 50–240 Ohm (E+H ref), coil current ±0.1%</t>
  </si>
  <si>
    <t>Age &gt;15 years = Medium, moisture environment = High, others = Low</t>
  </si>
  <si>
    <t>No direct baseline — monitor via process noise</t>
  </si>
  <si>
    <t>Abrasive = High, Corrosive = Medium, Clean = Low</t>
  </si>
  <si>
    <t>Baseline noise at stable operating conditions</t>
  </si>
  <si>
    <t>Slurry = High, Two-phase = High, Clean = Low</t>
  </si>
  <si>
    <t>Ground impedance &lt;1 Ohm at commissioning</t>
  </si>
  <si>
    <t>FRP/PVC pipe = Medium, Metal pipe = Low</t>
  </si>
  <si>
    <t>Factory calibration stored in transmitter</t>
  </si>
  <si>
    <t>All fluids = Low (gradual, detectable via SMV/Heartbeat)</t>
  </si>
  <si>
    <t>Same for all — always Low unless age &gt;15 years</t>
  </si>
  <si>
    <t>Baseline conductivity at normal operation</t>
  </si>
  <si>
    <t>Demineralized water = High, Acids = Medium, others = Low</t>
  </si>
  <si>
    <t>Design temperature from process datasheet</t>
  </si>
  <si>
    <t>Near liner limit = High, &gt;20°C margin = Low</t>
  </si>
  <si>
    <t>Symmetric signal at commissioning</t>
  </si>
  <si>
    <t>&lt;5D upstream = High, ≥5D =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</si>
</sst>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b/>
      <sz val="11"/>
      <color rgb="FFFFFFFF"/>
      <name val="Arial"/>
      <family val="2"/>
    </font>
    <font>
      <sz val="10"/>
      <name val="Arial"/>
      <family val="2"/>
    </font>
    <font>
      <i/>
      <sz val="10"/>
      <color rgb="FF2F5496"/>
      <name val="Arial"/>
      <family val="2"/>
    </font>
    <font>
      <b/>
      <sz val="14"/>
      <color rgb="FF2F5496"/>
      <name val="Arial"/>
      <family val="2"/>
    </font>
    <font>
      <b/>
      <sz val="11"/>
      <color rgb="FF2F5496"/>
      <name val="Arial"/>
      <family val="2"/>
    </font>
    <font>
      <sz val="8"/>
      <name val="Calibri"/>
      <family val="2"/>
      <scheme val="minor"/>
    </font>
    <font>
      <sz val="11"/>
      <name val="Arial"/>
      <family val="2"/>
    </font>
    <font>
      <sz val="10"/>
      <color theme="1"/>
      <name val="Arial"/>
      <family val="2"/>
    </font>
    <font>
      <b/>
      <sz val="11"/>
      <color theme="0"/>
      <name val="Arial"/>
      <family val="2"/>
    </font>
    <font>
      <b/>
      <sz val="9"/>
      <color rgb="FFFFFFFF"/>
      <name val="Arial"/>
      <family val="2"/>
    </font>
    <font>
      <b/>
      <sz val="9"/>
      <color theme="1"/>
      <name val="Arial"/>
      <family val="2"/>
    </font>
    <font>
      <sz val="9"/>
      <color theme="1"/>
      <name val="Arial"/>
      <family val="2"/>
    </font>
    <font>
      <i/>
      <sz val="8"/>
      <color theme="1"/>
      <name val="Arial"/>
      <family val="2"/>
    </font>
    <font>
      <b/>
      <sz val="11"/>
      <color rgb="FF1B2A4A"/>
      <name val="Arial"/>
      <family val="2"/>
    </font>
    <font>
      <sz val="9"/>
      <color rgb="FF333333"/>
      <name val="Arial"/>
      <family val="2"/>
    </font>
    <font>
      <b/>
      <sz val="10"/>
      <color rgb="FF1B2A4A"/>
      <name val="Arial"/>
      <family val="2"/>
    </font>
    <font>
      <sz val="9"/>
      <color rgb="FF555555"/>
      <name val="Arial"/>
      <family val="2"/>
    </font>
    <font>
      <b/>
      <sz val="11"/>
      <color theme="0"/>
      <name val="Calibri"/>
      <family val="2"/>
      <scheme val="minor"/>
    </font>
    <font>
      <sz val="11"/>
      <color theme="0"/>
      <name val="Calibri"/>
      <family val="2"/>
      <scheme val="minor"/>
    </font>
    <font>
      <sz val="9"/>
      <color theme="1"/>
      <name val="Calibri"/>
      <family val="2"/>
      <scheme val="minor"/>
    </font>
    <font>
      <b/>
      <sz val="9"/>
      <color rgb="FF000000"/>
      <name val="Arial"/>
      <family val="2"/>
    </font>
    <font>
      <b/>
      <sz val="8"/>
      <color rgb="FFFFFFFF"/>
      <name val="Arial"/>
      <family val="2"/>
    </font>
    <font>
      <b/>
      <sz val="8"/>
      <name val="Arial"/>
      <family val="2"/>
    </font>
    <font>
      <sz val="8"/>
      <name val="Arial"/>
      <family val="2"/>
    </font>
    <font>
      <i/>
      <sz val="8"/>
      <color rgb="FF999999"/>
      <name val="Arial"/>
      <family val="2"/>
    </font>
    <font>
      <sz val="8"/>
      <color rgb="FFC00000"/>
      <name val="Arial"/>
      <family val="2"/>
    </font>
    <font>
      <sz val="11"/>
      <color theme="1"/>
      <name val="Calibri"/>
      <family val="2"/>
      <charset val="1"/>
    </font>
    <font>
      <sz val="9"/>
      <name val="Arial"/>
      <family val="2"/>
    </font>
    <font>
      <sz val="9"/>
      <color rgb="FFC00000"/>
      <name val="Arial"/>
      <family val="2"/>
    </font>
    <font>
      <b/>
      <sz val="9"/>
      <name val="Arial"/>
      <family val="2"/>
    </font>
    <font>
      <sz val="9"/>
      <color rgb="FF9C5700"/>
      <name val="Arial"/>
      <family val="2"/>
    </font>
    <font>
      <sz val="9"/>
      <color rgb="FF006100"/>
      <name val="Arial"/>
      <family val="2"/>
    </font>
    <font>
      <b/>
      <sz val="10"/>
      <color rgb="FFFFFFFF"/>
      <name val="Arial"/>
      <family val="2"/>
    </font>
    <font>
      <b/>
      <sz val="9"/>
      <color rgb="FF333333"/>
      <name val="Arial"/>
      <family val="2"/>
    </font>
    <font>
      <b/>
      <sz val="11"/>
      <name val="Calibri"/>
      <family val="2"/>
    </font>
    <font>
      <sz val="9"/>
      <name val="Calibri"/>
      <family val="2"/>
    </font>
    <font>
      <b/>
      <sz val="10"/>
      <color rgb="FFFF0000"/>
      <name val="Calibri"/>
      <family val="2"/>
    </font>
    <font>
      <sz val="11"/>
      <color rgb="FF000000"/>
      <name val="Calibri"/>
      <family val="2"/>
      <scheme val="minor"/>
    </font>
  </fonts>
  <fills count="30">
    <fill>
      <patternFill patternType="none"/>
    </fill>
    <fill>
      <patternFill patternType="gray125"/>
    </fill>
    <fill>
      <patternFill patternType="solid">
        <fgColor rgb="FF2F5496"/>
      </patternFill>
    </fill>
    <fill>
      <patternFill patternType="solid">
        <fgColor rgb="FFFFF2CC"/>
      </patternFill>
    </fill>
    <fill>
      <patternFill patternType="solid">
        <fgColor theme="0"/>
        <bgColor indexed="64"/>
      </patternFill>
    </fill>
    <fill>
      <patternFill patternType="solid">
        <fgColor theme="9" tint="0.59999389629810485"/>
        <bgColor indexed="64"/>
      </patternFill>
    </fill>
    <fill>
      <patternFill patternType="solid">
        <fgColor rgb="FFFEFFD3"/>
        <bgColor indexed="64"/>
      </patternFill>
    </fill>
    <fill>
      <patternFill patternType="solid">
        <fgColor theme="3" tint="0.79998168889431442"/>
        <bgColor indexed="64"/>
      </patternFill>
    </fill>
    <fill>
      <patternFill patternType="solid">
        <fgColor theme="4" tint="-0.249977111117893"/>
        <bgColor indexed="64"/>
      </patternFill>
    </fill>
    <fill>
      <patternFill patternType="solid">
        <fgColor rgb="FFFFFFFF"/>
        <bgColor rgb="FF000000"/>
      </patternFill>
    </fill>
    <fill>
      <patternFill patternType="solid">
        <fgColor rgb="FF1B2A4A"/>
      </patternFill>
    </fill>
    <fill>
      <patternFill patternType="solid">
        <fgColor rgb="FFE2EFDA"/>
      </patternFill>
    </fill>
    <fill>
      <patternFill patternType="solid">
        <fgColor rgb="FFDAEEF3"/>
      </patternFill>
    </fill>
    <fill>
      <patternFill patternType="solid">
        <fgColor rgb="FFFDE9D9"/>
      </patternFill>
    </fill>
    <fill>
      <patternFill patternType="solid">
        <fgColor rgb="FFE4DFEC"/>
      </patternFill>
    </fill>
    <fill>
      <patternFill patternType="solid">
        <fgColor rgb="FFFCE4EC"/>
      </patternFill>
    </fill>
    <fill>
      <patternFill patternType="solid">
        <fgColor rgb="FFFFF9C4"/>
      </patternFill>
    </fill>
    <fill>
      <patternFill patternType="solid">
        <fgColor rgb="FFE6A0A0"/>
        <bgColor rgb="FFF4B084"/>
      </patternFill>
    </fill>
    <fill>
      <patternFill patternType="solid">
        <fgColor rgb="FFF4B084"/>
        <bgColor rgb="FFE6A0A0"/>
      </patternFill>
    </fill>
    <fill>
      <patternFill patternType="solid">
        <fgColor rgb="FFFFEB9C"/>
        <bgColor rgb="FFFCD5B4"/>
      </patternFill>
    </fill>
    <fill>
      <patternFill patternType="solid">
        <fgColor rgb="FFC6EFCE"/>
        <bgColor rgb="FFE2EFDA"/>
      </patternFill>
    </fill>
    <fill>
      <patternFill patternType="solid">
        <fgColor rgb="FF1B2A4A"/>
        <bgColor rgb="FF333333"/>
      </patternFill>
    </fill>
    <fill>
      <patternFill patternType="solid">
        <fgColor rgb="FF2E75B6"/>
        <bgColor rgb="FF0066CC"/>
      </patternFill>
    </fill>
    <fill>
      <patternFill patternType="solid">
        <fgColor rgb="FFE2EFDA"/>
        <bgColor rgb="FFC6EFCE"/>
      </patternFill>
    </fill>
    <fill>
      <patternFill patternType="solid">
        <fgColor rgb="FFFCD5B4"/>
        <bgColor rgb="FFFFEB9C"/>
      </patternFill>
    </fill>
    <fill>
      <patternFill patternType="solid">
        <fgColor rgb="FFC00000"/>
        <bgColor rgb="FF800000"/>
      </patternFill>
    </fill>
    <fill>
      <patternFill patternType="solid">
        <fgColor rgb="FFD9E2F3"/>
      </patternFill>
    </fill>
    <fill>
      <patternFill patternType="solid">
        <fgColor rgb="FFD6E4FC"/>
      </patternFill>
    </fill>
    <fill>
      <patternFill patternType="solid">
        <fgColor rgb="FFFCE4D6"/>
      </patternFill>
    </fill>
    <fill>
      <patternFill patternType="solid">
        <fgColor theme="0"/>
        <bgColor rgb="FF000000"/>
      </patternFill>
    </fill>
  </fills>
  <borders count="20">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diagonal/>
    </border>
    <border>
      <left style="thin">
        <color rgb="FFB4C6E7"/>
      </left>
      <right style="thin">
        <color rgb="FFB4C6E7"/>
      </right>
      <top style="thin">
        <color rgb="FFB4C6E7"/>
      </top>
      <bottom/>
      <diagonal/>
    </border>
    <border>
      <left style="thin">
        <color rgb="FFB0B0B0"/>
      </left>
      <right style="thin">
        <color rgb="FFB0B0B0"/>
      </right>
      <top style="thin">
        <color rgb="FFB0B0B0"/>
      </top>
      <bottom style="thin">
        <color rgb="FFB0B0B0"/>
      </bottom>
      <diagonal/>
    </border>
    <border>
      <left style="thin">
        <color theme="0" tint="-0.499984740745262"/>
      </left>
      <right style="thin">
        <color theme="0" tint="-0.499984740745262"/>
      </right>
      <top style="thin">
        <color theme="0" tint="-0.499984740745262"/>
      </top>
      <bottom/>
      <diagonal/>
    </border>
    <border>
      <left/>
      <right style="thin">
        <color indexed="64"/>
      </right>
      <top style="thin">
        <color indexed="64"/>
      </top>
      <bottom/>
      <diagonal/>
    </border>
    <border>
      <left style="thin">
        <color theme="0" tint="-0.499984740745262"/>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rgb="FFB0B0B0"/>
      </left>
      <right style="thin">
        <color rgb="FFB0B0B0"/>
      </right>
      <top/>
      <bottom/>
      <diagonal/>
    </border>
    <border>
      <left/>
      <right style="thin">
        <color rgb="FFB0B0B0"/>
      </right>
      <top style="thin">
        <color rgb="FFB0B0B0"/>
      </top>
      <bottom style="thin">
        <color rgb="FFB0B0B0"/>
      </bottom>
      <diagonal/>
    </border>
    <border>
      <left style="thin">
        <color rgb="FFB0B0B0"/>
      </left>
      <right style="thin">
        <color rgb="FFB0B0B0"/>
      </right>
      <top style="thin">
        <color rgb="FFB0B0B0"/>
      </top>
      <bottom/>
      <diagonal/>
    </border>
    <border>
      <left style="thin">
        <color rgb="FFB0B0B0"/>
      </left>
      <right/>
      <top style="thin">
        <color rgb="FFB0B0B0"/>
      </top>
      <bottom style="thin">
        <color rgb="FFB0B0B0"/>
      </bottom>
      <diagonal/>
    </border>
    <border>
      <left style="thin">
        <color rgb="FFB0B0B0"/>
      </left>
      <right style="thin">
        <color rgb="FFB0B0B0"/>
      </right>
      <top/>
      <bottom style="thin">
        <color rgb="FFB0B0B0"/>
      </bottom>
      <diagonal/>
    </border>
    <border>
      <left/>
      <right style="thin">
        <color rgb="FFB0B0B0"/>
      </right>
      <top/>
      <bottom/>
      <diagonal/>
    </border>
    <border>
      <left style="thin">
        <color rgb="FFB4C6E7"/>
      </left>
      <right/>
      <top/>
      <bottom/>
      <diagonal/>
    </border>
    <border>
      <left/>
      <right style="thin">
        <color rgb="FFB4C6E7"/>
      </right>
      <top/>
      <bottom/>
      <diagonal/>
    </border>
  </borders>
  <cellStyleXfs count="2">
    <xf numFmtId="0" fontId="0" fillId="0" borderId="0"/>
    <xf numFmtId="0" fontId="27" fillId="0" borderId="0"/>
  </cellStyleXfs>
  <cellXfs count="127">
    <xf numFmtId="0" fontId="0" fillId="0" borderId="0" xfId="0"/>
    <xf numFmtId="0" fontId="4" fillId="0" borderId="0" xfId="0" applyFont="1" applyAlignment="1">
      <alignment horizontal="left" vertical="top" wrapText="1"/>
    </xf>
    <xf numFmtId="0" fontId="2" fillId="0" borderId="0" xfId="0" applyFont="1" applyAlignment="1">
      <alignment horizontal="left" vertical="top" wrapText="1"/>
    </xf>
    <xf numFmtId="0" fontId="5" fillId="0" borderId="0" xfId="0" applyFont="1" applyAlignment="1">
      <alignment horizontal="left" vertical="top"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0" fillId="0" borderId="4" xfId="0" applyBorder="1"/>
    <xf numFmtId="0" fontId="0" fillId="5" borderId="4" xfId="0" applyFill="1" applyBorder="1" applyAlignment="1">
      <alignment horizontal="center" vertical="center"/>
    </xf>
    <xf numFmtId="0" fontId="1" fillId="2" borderId="6" xfId="0" applyFont="1" applyFill="1" applyBorder="1" applyAlignment="1">
      <alignment horizontal="center" vertical="center" wrapText="1"/>
    </xf>
    <xf numFmtId="0" fontId="2" fillId="4" borderId="4" xfId="0" applyFont="1" applyFill="1" applyBorder="1" applyAlignment="1">
      <alignment horizontal="left" vertical="top" wrapText="1"/>
    </xf>
    <xf numFmtId="0" fontId="2" fillId="0" borderId="4" xfId="0" applyFont="1" applyBorder="1" applyAlignment="1">
      <alignment horizontal="left" vertical="top" wrapText="1"/>
    </xf>
    <xf numFmtId="0" fontId="11" fillId="4" borderId="7" xfId="0" applyFont="1" applyFill="1" applyBorder="1" applyAlignment="1">
      <alignment horizontal="left" vertical="center" wrapText="1"/>
    </xf>
    <xf numFmtId="0" fontId="12" fillId="4" borderId="7" xfId="0" applyFont="1" applyFill="1" applyBorder="1" applyAlignment="1">
      <alignment horizontal="center" vertical="center" wrapText="1"/>
    </xf>
    <xf numFmtId="0" fontId="13" fillId="4" borderId="7" xfId="0" applyFont="1" applyFill="1" applyBorder="1" applyAlignment="1">
      <alignment horizontal="left" vertical="center" wrapText="1"/>
    </xf>
    <xf numFmtId="0" fontId="10" fillId="8" borderId="7"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0" fillId="6" borderId="4" xfId="0" applyFill="1" applyBorder="1" applyAlignment="1">
      <alignment horizontal="center" vertical="center"/>
    </xf>
    <xf numFmtId="0" fontId="8" fillId="6" borderId="4"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0" fillId="7" borderId="4" xfId="0" applyFill="1" applyBorder="1" applyAlignment="1">
      <alignment horizontal="center" vertical="center"/>
    </xf>
    <xf numFmtId="10" fontId="2" fillId="7" borderId="4" xfId="0" applyNumberFormat="1"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0" fillId="6" borderId="4" xfId="0" applyFill="1" applyBorder="1" applyAlignment="1">
      <alignment horizontal="center" vertical="center" wrapText="1"/>
    </xf>
    <xf numFmtId="0" fontId="0" fillId="6" borderId="10" xfId="0" applyFill="1" applyBorder="1" applyAlignment="1">
      <alignment horizontal="center" vertical="center"/>
    </xf>
    <xf numFmtId="0" fontId="8" fillId="6" borderId="10" xfId="0" applyFont="1" applyFill="1" applyBorder="1" applyAlignment="1">
      <alignment horizontal="center" vertical="center" wrapText="1"/>
    </xf>
    <xf numFmtId="0" fontId="2" fillId="5" borderId="4" xfId="0" applyFont="1" applyFill="1" applyBorder="1" applyAlignment="1">
      <alignment vertical="center" wrapText="1"/>
    </xf>
    <xf numFmtId="46" fontId="2" fillId="6" borderId="4" xfId="0" applyNumberFormat="1" applyFont="1" applyFill="1" applyBorder="1" applyAlignment="1">
      <alignment horizontal="center" vertical="center" wrapText="1"/>
    </xf>
    <xf numFmtId="0" fontId="0" fillId="6" borderId="0" xfId="0" applyFill="1" applyAlignment="1">
      <alignment vertical="center"/>
    </xf>
    <xf numFmtId="0" fontId="18" fillId="8" borderId="4" xfId="0" applyFont="1" applyFill="1" applyBorder="1"/>
    <xf numFmtId="0" fontId="19" fillId="8" borderId="4" xfId="0" applyFont="1" applyFill="1" applyBorder="1"/>
    <xf numFmtId="0" fontId="2" fillId="4" borderId="0" xfId="0" applyFont="1" applyFill="1" applyAlignment="1">
      <alignment horizontal="center" vertical="center" wrapText="1"/>
    </xf>
    <xf numFmtId="0" fontId="12" fillId="4" borderId="7" xfId="0" applyFont="1" applyFill="1" applyBorder="1" applyAlignment="1">
      <alignment horizontal="left" vertical="center" wrapText="1"/>
    </xf>
    <xf numFmtId="0" fontId="11" fillId="4" borderId="0" xfId="0" applyFont="1" applyFill="1" applyAlignment="1">
      <alignment horizontal="left" vertical="center" wrapText="1"/>
    </xf>
    <xf numFmtId="0" fontId="12" fillId="4" borderId="13" xfId="0" applyFont="1" applyFill="1" applyBorder="1" applyAlignment="1">
      <alignment horizontal="center" vertical="center" wrapText="1"/>
    </xf>
    <xf numFmtId="0" fontId="11" fillId="4" borderId="14"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12" fillId="4" borderId="12"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16"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3" fillId="4" borderId="14" xfId="0" applyFont="1" applyFill="1" applyBorder="1" applyAlignment="1">
      <alignment horizontal="left" vertical="center" wrapText="1"/>
    </xf>
    <xf numFmtId="0" fontId="20" fillId="0" borderId="4" xfId="0" applyFont="1" applyBorder="1" applyAlignment="1">
      <alignment wrapText="1"/>
    </xf>
    <xf numFmtId="0" fontId="21" fillId="9" borderId="7" xfId="0" applyFont="1" applyFill="1" applyBorder="1" applyAlignment="1">
      <alignment horizontal="left" vertical="center" wrapText="1"/>
    </xf>
    <xf numFmtId="0" fontId="22" fillId="10" borderId="7" xfId="0" applyFont="1" applyFill="1" applyBorder="1" applyAlignment="1">
      <alignment horizontal="center" vertical="center" wrapText="1"/>
    </xf>
    <xf numFmtId="0" fontId="23" fillId="11" borderId="7" xfId="0" applyFont="1" applyFill="1" applyBorder="1" applyAlignment="1">
      <alignment horizontal="left" vertical="center" wrapText="1"/>
    </xf>
    <xf numFmtId="0" fontId="24" fillId="11" borderId="7" xfId="0" applyFont="1" applyFill="1" applyBorder="1" applyAlignment="1">
      <alignment horizontal="left" vertical="center" wrapText="1"/>
    </xf>
    <xf numFmtId="0" fontId="24" fillId="11" borderId="7" xfId="0" applyFont="1" applyFill="1" applyBorder="1" applyAlignment="1">
      <alignment horizontal="center" vertical="center" wrapText="1"/>
    </xf>
    <xf numFmtId="0" fontId="25" fillId="11" borderId="7" xfId="0" applyFont="1" applyFill="1" applyBorder="1" applyAlignment="1">
      <alignment horizontal="center" vertical="center" wrapText="1"/>
    </xf>
    <xf numFmtId="0" fontId="23" fillId="12" borderId="7" xfId="0" applyFont="1" applyFill="1" applyBorder="1" applyAlignment="1">
      <alignment horizontal="left" vertical="center" wrapText="1"/>
    </xf>
    <xf numFmtId="0" fontId="25" fillId="12" borderId="7" xfId="0" applyFont="1" applyFill="1" applyBorder="1" applyAlignment="1">
      <alignment horizontal="left" vertical="center" wrapText="1"/>
    </xf>
    <xf numFmtId="0" fontId="24" fillId="12" borderId="7" xfId="0" applyFont="1" applyFill="1" applyBorder="1" applyAlignment="1">
      <alignment horizontal="center" vertical="center" wrapText="1"/>
    </xf>
    <xf numFmtId="0" fontId="25" fillId="12" borderId="7" xfId="0" applyFont="1" applyFill="1" applyBorder="1" applyAlignment="1">
      <alignment horizontal="center" vertical="center" wrapText="1"/>
    </xf>
    <xf numFmtId="0" fontId="26" fillId="12" borderId="7" xfId="0" applyFont="1" applyFill="1" applyBorder="1" applyAlignment="1">
      <alignment horizontal="center" vertical="center" wrapText="1"/>
    </xf>
    <xf numFmtId="0" fontId="23" fillId="13" borderId="7" xfId="0" applyFont="1" applyFill="1" applyBorder="1" applyAlignment="1">
      <alignment horizontal="left" vertical="center" wrapText="1"/>
    </xf>
    <xf numFmtId="0" fontId="25" fillId="13" borderId="7" xfId="0" applyFont="1" applyFill="1" applyBorder="1" applyAlignment="1">
      <alignment horizontal="left" vertical="center" wrapText="1"/>
    </xf>
    <xf numFmtId="0" fontId="24" fillId="13" borderId="7" xfId="0" applyFont="1" applyFill="1" applyBorder="1" applyAlignment="1">
      <alignment horizontal="center" vertical="center" wrapText="1"/>
    </xf>
    <xf numFmtId="0" fontId="25" fillId="13" borderId="7" xfId="0" applyFont="1" applyFill="1" applyBorder="1" applyAlignment="1">
      <alignment horizontal="center" vertical="center" wrapText="1"/>
    </xf>
    <xf numFmtId="0" fontId="26" fillId="13" borderId="7" xfId="0" applyFont="1" applyFill="1" applyBorder="1" applyAlignment="1">
      <alignment horizontal="center" vertical="center" wrapText="1"/>
    </xf>
    <xf numFmtId="0" fontId="23" fillId="14" borderId="7" xfId="0" applyFont="1" applyFill="1" applyBorder="1" applyAlignment="1">
      <alignment horizontal="left" vertical="center" wrapText="1"/>
    </xf>
    <xf numFmtId="0" fontId="25" fillId="14" borderId="7" xfId="0" applyFont="1" applyFill="1" applyBorder="1" applyAlignment="1">
      <alignment horizontal="left" vertical="center" wrapText="1"/>
    </xf>
    <xf numFmtId="0" fontId="24" fillId="14" borderId="7" xfId="0" applyFont="1" applyFill="1" applyBorder="1" applyAlignment="1">
      <alignment horizontal="center" vertical="center" wrapText="1"/>
    </xf>
    <xf numFmtId="0" fontId="25" fillId="14" borderId="7" xfId="0" applyFont="1" applyFill="1" applyBorder="1" applyAlignment="1">
      <alignment horizontal="center" vertical="center" wrapText="1"/>
    </xf>
    <xf numFmtId="0" fontId="26" fillId="14" borderId="7" xfId="0" applyFont="1" applyFill="1" applyBorder="1" applyAlignment="1">
      <alignment horizontal="center" vertical="center" wrapText="1"/>
    </xf>
    <xf numFmtId="0" fontId="23" fillId="15" borderId="7" xfId="0" applyFont="1" applyFill="1" applyBorder="1" applyAlignment="1">
      <alignment horizontal="left" vertical="center" wrapText="1"/>
    </xf>
    <xf numFmtId="0" fontId="25" fillId="15" borderId="7" xfId="0" applyFont="1" applyFill="1" applyBorder="1" applyAlignment="1">
      <alignment horizontal="left" vertical="center" wrapText="1"/>
    </xf>
    <xf numFmtId="0" fontId="24" fillId="15" borderId="7" xfId="0" applyFont="1" applyFill="1" applyBorder="1" applyAlignment="1">
      <alignment horizontal="center" vertical="center" wrapText="1"/>
    </xf>
    <xf numFmtId="0" fontId="25" fillId="15" borderId="7" xfId="0" applyFont="1" applyFill="1" applyBorder="1" applyAlignment="1">
      <alignment horizontal="center" vertical="center" wrapText="1"/>
    </xf>
    <xf numFmtId="0" fontId="26" fillId="15" borderId="7" xfId="0" applyFont="1" applyFill="1" applyBorder="1" applyAlignment="1">
      <alignment horizontal="center" vertical="center" wrapText="1"/>
    </xf>
    <xf numFmtId="0" fontId="23" fillId="16" borderId="7" xfId="0" applyFont="1" applyFill="1" applyBorder="1" applyAlignment="1">
      <alignment horizontal="left" vertical="center" wrapText="1"/>
    </xf>
    <xf numFmtId="0" fontId="25" fillId="16" borderId="7" xfId="0" applyFont="1" applyFill="1" applyBorder="1" applyAlignment="1">
      <alignment horizontal="left" vertical="center" wrapText="1"/>
    </xf>
    <xf numFmtId="0" fontId="24" fillId="16" borderId="7" xfId="0" applyFont="1" applyFill="1" applyBorder="1" applyAlignment="1">
      <alignment horizontal="center" vertical="center" wrapText="1"/>
    </xf>
    <xf numFmtId="0" fontId="25" fillId="16" borderId="7" xfId="0" applyFont="1" applyFill="1" applyBorder="1" applyAlignment="1">
      <alignment horizontal="center" vertical="center" wrapText="1"/>
    </xf>
    <xf numFmtId="0" fontId="27" fillId="0" borderId="0" xfId="1"/>
    <xf numFmtId="0" fontId="28" fillId="0" borderId="7" xfId="1" applyFont="1" applyBorder="1" applyAlignment="1">
      <alignment horizontal="center" vertical="center" wrapText="1"/>
    </xf>
    <xf numFmtId="0" fontId="29" fillId="17" borderId="7" xfId="1" applyFont="1" applyFill="1" applyBorder="1" applyAlignment="1">
      <alignment horizontal="center" vertical="center" wrapText="1"/>
    </xf>
    <xf numFmtId="0" fontId="30" fillId="0" borderId="7" xfId="1" applyFont="1" applyBorder="1" applyAlignment="1">
      <alignment horizontal="left" vertical="center" wrapText="1"/>
    </xf>
    <xf numFmtId="0" fontId="29" fillId="18" borderId="7" xfId="1" applyFont="1" applyFill="1" applyBorder="1" applyAlignment="1">
      <alignment horizontal="center" vertical="center" wrapText="1"/>
    </xf>
    <xf numFmtId="0" fontId="31" fillId="19" borderId="7" xfId="1" applyFont="1" applyFill="1" applyBorder="1" applyAlignment="1">
      <alignment horizontal="center" vertical="center" wrapText="1"/>
    </xf>
    <xf numFmtId="0" fontId="32" fillId="20" borderId="7" xfId="1" applyFont="1" applyFill="1" applyBorder="1" applyAlignment="1">
      <alignment horizontal="center" vertical="center" wrapText="1"/>
    </xf>
    <xf numFmtId="0" fontId="10" fillId="21" borderId="7" xfId="1" applyFont="1" applyFill="1" applyBorder="1" applyAlignment="1">
      <alignment horizontal="center" vertical="center" wrapText="1"/>
    </xf>
    <xf numFmtId="0" fontId="32" fillId="23" borderId="7" xfId="1" applyFont="1" applyFill="1" applyBorder="1" applyAlignment="1">
      <alignment horizontal="center" vertical="center" wrapText="1"/>
    </xf>
    <xf numFmtId="0" fontId="31" fillId="24" borderId="7" xfId="1" applyFont="1" applyFill="1" applyBorder="1" applyAlignment="1">
      <alignment horizontal="center" vertical="center" wrapText="1"/>
    </xf>
    <xf numFmtId="0" fontId="10" fillId="25" borderId="7" xfId="1" applyFont="1" applyFill="1" applyBorder="1" applyAlignment="1">
      <alignment horizontal="center" vertical="center" wrapText="1"/>
    </xf>
    <xf numFmtId="9" fontId="28" fillId="0" borderId="7" xfId="1" applyNumberFormat="1" applyFont="1" applyBorder="1" applyAlignment="1">
      <alignment horizontal="center" vertical="center" wrapText="1"/>
    </xf>
    <xf numFmtId="0" fontId="30" fillId="0" borderId="7" xfId="1" applyFont="1" applyBorder="1"/>
    <xf numFmtId="0" fontId="30" fillId="0" borderId="7" xfId="1" applyFont="1" applyBorder="1" applyAlignment="1">
      <alignment horizontal="center" vertical="center" wrapText="1"/>
    </xf>
    <xf numFmtId="0" fontId="0" fillId="11" borderId="0" xfId="0" applyFill="1"/>
    <xf numFmtId="0" fontId="0" fillId="26" borderId="0" xfId="0" applyFill="1"/>
    <xf numFmtId="0" fontId="0" fillId="3" borderId="0" xfId="0" applyFill="1"/>
    <xf numFmtId="0" fontId="0" fillId="27" borderId="0" xfId="0" applyFill="1"/>
    <xf numFmtId="0" fontId="0" fillId="28" borderId="0" xfId="0" applyFill="1"/>
    <xf numFmtId="0" fontId="35" fillId="0" borderId="0" xfId="0" applyFont="1"/>
    <xf numFmtId="0" fontId="36" fillId="0" borderId="3" xfId="0" applyFont="1" applyBorder="1" applyAlignment="1">
      <alignment vertical="center" wrapText="1"/>
    </xf>
    <xf numFmtId="0" fontId="36" fillId="27" borderId="3" xfId="0" applyFont="1" applyFill="1" applyBorder="1" applyAlignment="1">
      <alignment vertical="center" wrapText="1"/>
    </xf>
    <xf numFmtId="0" fontId="36" fillId="28" borderId="3" xfId="0" applyFont="1" applyFill="1" applyBorder="1" applyAlignment="1">
      <alignment vertical="center" wrapText="1"/>
    </xf>
    <xf numFmtId="0" fontId="36" fillId="3" borderId="3" xfId="0" applyFont="1" applyFill="1" applyBorder="1" applyAlignment="1">
      <alignment vertical="center" wrapText="1"/>
    </xf>
    <xf numFmtId="0" fontId="36" fillId="11" borderId="3" xfId="0" applyFont="1" applyFill="1" applyBorder="1" applyAlignment="1">
      <alignment vertical="center" wrapText="1"/>
    </xf>
    <xf numFmtId="0" fontId="36" fillId="26" borderId="3" xfId="0" applyFont="1" applyFill="1" applyBorder="1" applyAlignment="1">
      <alignment vertical="center" wrapText="1"/>
    </xf>
    <xf numFmtId="0" fontId="37" fillId="0" borderId="0" xfId="0" applyFont="1"/>
    <xf numFmtId="0" fontId="3" fillId="0" borderId="0" xfId="0" applyFont="1" applyAlignment="1">
      <alignment horizontal="left" vertical="top" wrapText="1"/>
    </xf>
    <xf numFmtId="0" fontId="0" fillId="0" borderId="0" xfId="0"/>
    <xf numFmtId="0" fontId="17" fillId="0" borderId="0" xfId="0" applyFont="1"/>
    <xf numFmtId="0" fontId="15" fillId="0" borderId="0" xfId="0" applyFont="1"/>
    <xf numFmtId="0" fontId="16" fillId="0" borderId="0" xfId="0" applyFont="1"/>
    <xf numFmtId="0" fontId="14" fillId="0" borderId="0" xfId="0" applyFont="1"/>
    <xf numFmtId="0" fontId="33" fillId="22" borderId="0" xfId="1" applyFont="1" applyFill="1" applyAlignment="1">
      <alignment horizontal="left" vertical="center"/>
    </xf>
    <xf numFmtId="0" fontId="28" fillId="0" borderId="15" xfId="1" applyFont="1" applyBorder="1" applyAlignment="1">
      <alignment horizontal="left" vertical="center" wrapText="1"/>
    </xf>
    <xf numFmtId="0" fontId="17" fillId="0" borderId="0" xfId="1" applyFont="1"/>
    <xf numFmtId="0" fontId="34" fillId="0" borderId="0" xfId="1" applyFont="1"/>
    <xf numFmtId="0" fontId="21" fillId="9" borderId="0" xfId="0" applyFont="1" applyFill="1" applyAlignment="1">
      <alignment horizontal="left" vertical="center" wrapText="1"/>
    </xf>
    <xf numFmtId="0" fontId="38" fillId="0" borderId="0" xfId="0" applyFont="1"/>
    <xf numFmtId="0" fontId="2" fillId="29" borderId="11" xfId="0" applyFont="1" applyFill="1" applyBorder="1" applyAlignment="1">
      <alignment horizontal="left" vertical="top" wrapText="1"/>
    </xf>
    <xf numFmtId="0" fontId="0" fillId="0" borderId="4" xfId="0" applyBorder="1" applyAlignment="1">
      <alignment horizontal="left" vertical="top"/>
    </xf>
    <xf numFmtId="0" fontId="2" fillId="0" borderId="2"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18" xfId="0" applyFont="1" applyFill="1" applyBorder="1" applyAlignment="1">
      <alignment horizontal="left" vertical="top" wrapText="1"/>
    </xf>
    <xf numFmtId="0" fontId="2" fillId="0" borderId="19" xfId="0" applyFont="1" applyFill="1" applyBorder="1" applyAlignment="1">
      <alignment horizontal="left" vertical="top" wrapText="1"/>
    </xf>
  </cellXfs>
  <cellStyles count="2">
    <cellStyle name="Normal" xfId="0" builtinId="0"/>
    <cellStyle name="Normal 2" xfId="1" xr:uid="{FCA9C6F3-2080-3E4C-98DD-E7B6A0E25834}"/>
  </cellStyles>
  <dxfs count="0"/>
  <tableStyles count="0" defaultTableStyle="TableStyleMedium9" defaultPivotStyle="PivotStyleLight16"/>
  <colors>
    <mruColors>
      <color rgb="FFFEFF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6600"/>
  </sheetPr>
  <dimension ref="A1:A25"/>
  <sheetViews>
    <sheetView workbookViewId="0">
      <selection activeCell="A12" sqref="A12"/>
    </sheetView>
  </sheetViews>
  <sheetFormatPr baseColWidth="10" defaultColWidth="8.83203125" defaultRowHeight="15" x14ac:dyDescent="0.2"/>
  <cols>
    <col min="1" max="1" width="100" customWidth="1"/>
  </cols>
  <sheetData>
    <row r="1" spans="1:1" ht="19" x14ac:dyDescent="0.2">
      <c r="A1" s="1" t="s">
        <v>0</v>
      </c>
    </row>
    <row r="2" spans="1:1" x14ac:dyDescent="0.2">
      <c r="A2" s="2"/>
    </row>
    <row r="3" spans="1:1" x14ac:dyDescent="0.2">
      <c r="A3" s="3"/>
    </row>
    <row r="4" spans="1:1" x14ac:dyDescent="0.2">
      <c r="A4" s="2"/>
    </row>
    <row r="5" spans="1:1" x14ac:dyDescent="0.2">
      <c r="A5" s="2" t="s">
        <v>1</v>
      </c>
    </row>
    <row r="6" spans="1:1" x14ac:dyDescent="0.2">
      <c r="A6" s="2" t="s">
        <v>2</v>
      </c>
    </row>
    <row r="7" spans="1:1" x14ac:dyDescent="0.2">
      <c r="A7" s="2" t="s">
        <v>3</v>
      </c>
    </row>
    <row r="8" spans="1:1" x14ac:dyDescent="0.2">
      <c r="A8" s="2" t="s">
        <v>4</v>
      </c>
    </row>
    <row r="9" spans="1:1" x14ac:dyDescent="0.2">
      <c r="A9" s="2" t="s">
        <v>5</v>
      </c>
    </row>
    <row r="10" spans="1:1" x14ac:dyDescent="0.2">
      <c r="A10" s="2" t="s">
        <v>6</v>
      </c>
    </row>
    <row r="11" spans="1:1" x14ac:dyDescent="0.2">
      <c r="A11" s="2" t="s">
        <v>7</v>
      </c>
    </row>
    <row r="12" spans="1:1" x14ac:dyDescent="0.2">
      <c r="A12" s="2"/>
    </row>
    <row r="13" spans="1:1" x14ac:dyDescent="0.2">
      <c r="A13" s="3"/>
    </row>
    <row r="14" spans="1:1" x14ac:dyDescent="0.2">
      <c r="A14" s="2"/>
    </row>
    <row r="15" spans="1:1" x14ac:dyDescent="0.2">
      <c r="A15" s="2"/>
    </row>
    <row r="16" spans="1:1" x14ac:dyDescent="0.2">
      <c r="A16" s="2"/>
    </row>
    <row r="17" spans="1:1" x14ac:dyDescent="0.2">
      <c r="A17" s="2"/>
    </row>
    <row r="18" spans="1:1" x14ac:dyDescent="0.2">
      <c r="A18" s="2"/>
    </row>
    <row r="19" spans="1:1" x14ac:dyDescent="0.2">
      <c r="A19" s="3"/>
    </row>
    <row r="20" spans="1:1" x14ac:dyDescent="0.2">
      <c r="A20" s="2"/>
    </row>
    <row r="21" spans="1:1" x14ac:dyDescent="0.2">
      <c r="A21" s="3"/>
    </row>
    <row r="22" spans="1:1" x14ac:dyDescent="0.2">
      <c r="A22" s="2"/>
    </row>
    <row r="23" spans="1:1" x14ac:dyDescent="0.2">
      <c r="A23" s="2"/>
    </row>
    <row r="24" spans="1:1" x14ac:dyDescent="0.2">
      <c r="A24" s="2"/>
    </row>
    <row r="25" spans="1:1" x14ac:dyDescent="0.2">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A30"/>
  <sheetViews>
    <sheetView topLeftCell="A2" zoomScale="50" zoomScaleNormal="85" workbookViewId="0">
      <pane xSplit="1" topLeftCell="C1" activePane="topRight" state="frozen"/>
      <selection pane="topRight" activeCell="S9" sqref="S9"/>
    </sheetView>
  </sheetViews>
  <sheetFormatPr baseColWidth="10" defaultColWidth="8.83203125" defaultRowHeight="15" x14ac:dyDescent="0.2"/>
  <cols>
    <col min="1" max="1" width="18" customWidth="1"/>
    <col min="2" max="6" width="24" customWidth="1"/>
    <col min="7" max="7" width="60.83203125" customWidth="1"/>
    <col min="8" max="8" width="51.33203125" customWidth="1"/>
    <col min="9" max="9" width="31.1640625" customWidth="1"/>
    <col min="10" max="10" width="16" customWidth="1"/>
    <col min="11" max="11" width="14" customWidth="1"/>
    <col min="12" max="14" width="22" customWidth="1"/>
    <col min="15" max="15" width="16" customWidth="1"/>
    <col min="16" max="16" width="33.5" customWidth="1"/>
    <col min="17" max="17" width="16" customWidth="1"/>
    <col min="18" max="18" width="18" customWidth="1"/>
    <col min="19" max="19" width="35" customWidth="1"/>
    <col min="20" max="20" width="44" customWidth="1"/>
    <col min="21" max="21" width="12.83203125" customWidth="1"/>
    <col min="22" max="22" width="17.1640625" customWidth="1"/>
    <col min="23" max="23" width="42" customWidth="1"/>
    <col min="24" max="24" width="34.5" customWidth="1"/>
    <col min="25" max="25" width="92" customWidth="1"/>
    <col min="26" max="26" width="33.1640625" customWidth="1"/>
    <col min="27" max="27" width="104.6640625" customWidth="1"/>
  </cols>
  <sheetData>
    <row r="1" spans="1:27" x14ac:dyDescent="0.2">
      <c r="A1" s="109"/>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row>
    <row r="2" spans="1:27" ht="30" x14ac:dyDescent="0.2">
      <c r="A2" s="22" t="s">
        <v>47</v>
      </c>
      <c r="B2" s="22" t="s">
        <v>48</v>
      </c>
      <c r="C2" s="23" t="s">
        <v>250</v>
      </c>
      <c r="D2" s="23" t="s">
        <v>639</v>
      </c>
      <c r="E2" s="23" t="s">
        <v>640</v>
      </c>
      <c r="F2" s="23" t="s">
        <v>641</v>
      </c>
      <c r="G2" s="23" t="s">
        <v>443</v>
      </c>
      <c r="H2" s="23" t="s">
        <v>444</v>
      </c>
      <c r="I2" s="24" t="s">
        <v>49</v>
      </c>
      <c r="J2" s="24" t="s">
        <v>50</v>
      </c>
      <c r="K2" s="24" t="s">
        <v>51</v>
      </c>
      <c r="L2" s="24" t="s">
        <v>52</v>
      </c>
      <c r="M2" s="24" t="s">
        <v>53</v>
      </c>
      <c r="N2" s="24" t="s">
        <v>337</v>
      </c>
      <c r="O2" s="24" t="s">
        <v>338</v>
      </c>
      <c r="P2" s="24" t="s">
        <v>615</v>
      </c>
      <c r="Q2" s="24" t="s">
        <v>617</v>
      </c>
      <c r="R2" s="24" t="s">
        <v>54</v>
      </c>
      <c r="S2" s="24" t="s">
        <v>55</v>
      </c>
      <c r="T2" s="24" t="s">
        <v>56</v>
      </c>
      <c r="U2" s="24" t="s">
        <v>57</v>
      </c>
      <c r="V2" s="24" t="s">
        <v>58</v>
      </c>
      <c r="W2" s="24" t="s">
        <v>59</v>
      </c>
      <c r="X2" s="24" t="s">
        <v>60</v>
      </c>
      <c r="Y2" s="24" t="s">
        <v>61</v>
      </c>
      <c r="Z2" s="24" t="s">
        <v>62</v>
      </c>
      <c r="AA2" s="24" t="s">
        <v>152</v>
      </c>
    </row>
    <row r="3" spans="1:27" ht="28" x14ac:dyDescent="0.2">
      <c r="A3" s="18" t="s">
        <v>32</v>
      </c>
      <c r="B3" s="18">
        <v>8705</v>
      </c>
      <c r="C3" s="25" t="s">
        <v>251</v>
      </c>
      <c r="D3" s="25" t="s">
        <v>620</v>
      </c>
      <c r="E3" s="25" t="s">
        <v>239</v>
      </c>
      <c r="F3" s="25" t="s">
        <v>642</v>
      </c>
      <c r="G3" s="25" t="s">
        <v>445</v>
      </c>
      <c r="H3" s="25" t="s">
        <v>454</v>
      </c>
      <c r="I3" s="25" t="s">
        <v>415</v>
      </c>
      <c r="J3" s="25" t="s">
        <v>216</v>
      </c>
      <c r="K3" s="25" t="s">
        <v>217</v>
      </c>
      <c r="L3" s="25" t="s">
        <v>218</v>
      </c>
      <c r="M3" s="25" t="s">
        <v>288</v>
      </c>
      <c r="N3" s="25" t="s">
        <v>340</v>
      </c>
      <c r="O3" s="25" t="s">
        <v>342</v>
      </c>
      <c r="P3" s="25" t="s">
        <v>616</v>
      </c>
      <c r="Q3" s="25" t="s">
        <v>618</v>
      </c>
      <c r="R3" s="25" t="s">
        <v>291</v>
      </c>
      <c r="S3" s="25" t="s">
        <v>296</v>
      </c>
      <c r="T3" s="25" t="s">
        <v>299</v>
      </c>
      <c r="U3" s="25" t="s">
        <v>40</v>
      </c>
      <c r="V3" s="25" t="s">
        <v>278</v>
      </c>
      <c r="W3" s="25" t="s">
        <v>302</v>
      </c>
      <c r="X3" s="25" t="s">
        <v>329</v>
      </c>
      <c r="Y3" s="25" t="s">
        <v>306</v>
      </c>
      <c r="Z3" s="26" t="s">
        <v>404</v>
      </c>
      <c r="AA3" s="25" t="s">
        <v>648</v>
      </c>
    </row>
    <row r="4" spans="1:27" ht="28" x14ac:dyDescent="0.2">
      <c r="A4" s="18" t="s">
        <v>32</v>
      </c>
      <c r="B4" s="18">
        <v>8711</v>
      </c>
      <c r="C4" s="25" t="s">
        <v>252</v>
      </c>
      <c r="D4" s="25" t="s">
        <v>620</v>
      </c>
      <c r="E4" s="25" t="s">
        <v>643</v>
      </c>
      <c r="F4" s="25" t="s">
        <v>241</v>
      </c>
      <c r="G4" s="25" t="s">
        <v>446</v>
      </c>
      <c r="H4" s="25" t="s">
        <v>455</v>
      </c>
      <c r="I4" s="25" t="s">
        <v>415</v>
      </c>
      <c r="J4" s="25" t="s">
        <v>216</v>
      </c>
      <c r="K4" s="25" t="s">
        <v>217</v>
      </c>
      <c r="L4" s="25" t="s">
        <v>218</v>
      </c>
      <c r="M4" s="25" t="s">
        <v>289</v>
      </c>
      <c r="N4" s="25" t="s">
        <v>340</v>
      </c>
      <c r="O4" s="25" t="s">
        <v>342</v>
      </c>
      <c r="P4" s="25" t="s">
        <v>616</v>
      </c>
      <c r="Q4" s="25" t="s">
        <v>619</v>
      </c>
      <c r="R4" s="25" t="s">
        <v>292</v>
      </c>
      <c r="S4" s="25" t="s">
        <v>296</v>
      </c>
      <c r="T4" s="25" t="s">
        <v>301</v>
      </c>
      <c r="U4" s="25" t="s">
        <v>40</v>
      </c>
      <c r="V4" s="25" t="s">
        <v>278</v>
      </c>
      <c r="W4" s="25" t="s">
        <v>302</v>
      </c>
      <c r="X4" s="25" t="s">
        <v>329</v>
      </c>
      <c r="Y4" s="25" t="s">
        <v>306</v>
      </c>
      <c r="Z4" s="26" t="s">
        <v>404</v>
      </c>
      <c r="AA4" s="25" t="s">
        <v>649</v>
      </c>
    </row>
    <row r="5" spans="1:27" x14ac:dyDescent="0.2">
      <c r="A5" s="18" t="s">
        <v>32</v>
      </c>
      <c r="B5" s="18" t="s">
        <v>235</v>
      </c>
      <c r="C5" s="25" t="s">
        <v>253</v>
      </c>
      <c r="D5" s="25" t="s">
        <v>620</v>
      </c>
      <c r="E5" s="25" t="s">
        <v>102</v>
      </c>
      <c r="F5" s="25" t="s">
        <v>242</v>
      </c>
      <c r="G5" s="25" t="s">
        <v>447</v>
      </c>
      <c r="H5" s="25" t="s">
        <v>456</v>
      </c>
      <c r="I5" s="27" t="s">
        <v>416</v>
      </c>
      <c r="J5" s="25" t="s">
        <v>216</v>
      </c>
      <c r="K5" s="25" t="s">
        <v>217</v>
      </c>
      <c r="L5" s="25" t="s">
        <v>218</v>
      </c>
      <c r="M5" s="25" t="s">
        <v>288</v>
      </c>
      <c r="N5" s="25" t="s">
        <v>341</v>
      </c>
      <c r="O5" s="25" t="s">
        <v>343</v>
      </c>
      <c r="P5" s="25" t="s">
        <v>621</v>
      </c>
      <c r="Q5" s="25" t="s">
        <v>620</v>
      </c>
      <c r="R5" s="25" t="s">
        <v>293</v>
      </c>
      <c r="S5" s="25" t="s">
        <v>296</v>
      </c>
      <c r="T5" s="25" t="s">
        <v>298</v>
      </c>
      <c r="U5" s="25" t="s">
        <v>40</v>
      </c>
      <c r="V5" s="25" t="s">
        <v>278</v>
      </c>
      <c r="W5" s="25" t="s">
        <v>303</v>
      </c>
      <c r="X5" s="25" t="s">
        <v>329</v>
      </c>
      <c r="Y5" s="25" t="s">
        <v>307</v>
      </c>
      <c r="Z5" s="26" t="s">
        <v>405</v>
      </c>
      <c r="AA5" s="25" t="s">
        <v>650</v>
      </c>
    </row>
    <row r="6" spans="1:27" ht="56" x14ac:dyDescent="0.2">
      <c r="A6" s="18" t="s">
        <v>32</v>
      </c>
      <c r="B6" s="18">
        <v>8707</v>
      </c>
      <c r="C6" s="25" t="s">
        <v>254</v>
      </c>
      <c r="D6" s="25" t="s">
        <v>620</v>
      </c>
      <c r="E6" s="25" t="s">
        <v>240</v>
      </c>
      <c r="F6" s="25" t="s">
        <v>359</v>
      </c>
      <c r="G6" s="25" t="s">
        <v>448</v>
      </c>
      <c r="H6" s="25" t="s">
        <v>457</v>
      </c>
      <c r="I6" s="25" t="s">
        <v>415</v>
      </c>
      <c r="J6" s="25" t="s">
        <v>216</v>
      </c>
      <c r="K6" s="25" t="s">
        <v>217</v>
      </c>
      <c r="L6" s="25" t="s">
        <v>290</v>
      </c>
      <c r="M6" s="25" t="s">
        <v>288</v>
      </c>
      <c r="N6" s="25" t="s">
        <v>341</v>
      </c>
      <c r="O6" s="25" t="s">
        <v>342</v>
      </c>
      <c r="P6" s="25" t="s">
        <v>616</v>
      </c>
      <c r="Q6" s="25" t="s">
        <v>619</v>
      </c>
      <c r="R6" s="25" t="s">
        <v>294</v>
      </c>
      <c r="S6" s="25" t="s">
        <v>297</v>
      </c>
      <c r="T6" s="25" t="s">
        <v>320</v>
      </c>
      <c r="U6" s="25" t="s">
        <v>40</v>
      </c>
      <c r="V6" s="25" t="s">
        <v>278</v>
      </c>
      <c r="W6" s="25" t="s">
        <v>304</v>
      </c>
      <c r="X6" s="25" t="s">
        <v>329</v>
      </c>
      <c r="Y6" s="25" t="s">
        <v>308</v>
      </c>
      <c r="Z6" s="26" t="s">
        <v>406</v>
      </c>
      <c r="AA6" s="25" t="s">
        <v>651</v>
      </c>
    </row>
    <row r="7" spans="1:27" ht="28" x14ac:dyDescent="0.2">
      <c r="A7" s="18" t="s">
        <v>32</v>
      </c>
      <c r="B7" s="18" t="s">
        <v>551</v>
      </c>
      <c r="C7" s="25" t="s">
        <v>264</v>
      </c>
      <c r="D7" s="25" t="s">
        <v>620</v>
      </c>
      <c r="E7" s="25" t="s">
        <v>644</v>
      </c>
      <c r="F7" s="25" t="s">
        <v>645</v>
      </c>
      <c r="G7" s="25" t="s">
        <v>561</v>
      </c>
      <c r="H7" s="25" t="s">
        <v>454</v>
      </c>
      <c r="I7" s="25" t="s">
        <v>415</v>
      </c>
      <c r="J7" s="25" t="s">
        <v>216</v>
      </c>
      <c r="K7" s="25" t="s">
        <v>217</v>
      </c>
      <c r="L7" s="25" t="s">
        <v>218</v>
      </c>
      <c r="M7" s="25" t="s">
        <v>288</v>
      </c>
      <c r="N7" s="25" t="s">
        <v>344</v>
      </c>
      <c r="O7" s="25" t="s">
        <v>342</v>
      </c>
      <c r="P7" s="25" t="s">
        <v>621</v>
      </c>
      <c r="Q7" s="25" t="s">
        <v>620</v>
      </c>
      <c r="R7" s="25" t="s">
        <v>560</v>
      </c>
      <c r="S7" s="25" t="s">
        <v>296</v>
      </c>
      <c r="T7" s="25" t="s">
        <v>268</v>
      </c>
      <c r="U7" s="25" t="s">
        <v>611</v>
      </c>
      <c r="V7" s="25" t="s">
        <v>612</v>
      </c>
      <c r="W7" s="25" t="s">
        <v>613</v>
      </c>
      <c r="X7" s="25" t="s">
        <v>329</v>
      </c>
      <c r="Y7" s="25" t="s">
        <v>562</v>
      </c>
      <c r="Z7" s="26" t="s">
        <v>628</v>
      </c>
      <c r="AA7" s="25" t="s">
        <v>652</v>
      </c>
    </row>
    <row r="8" spans="1:27" ht="28" x14ac:dyDescent="0.2">
      <c r="A8" s="18" t="s">
        <v>32</v>
      </c>
      <c r="B8" s="18">
        <v>8721</v>
      </c>
      <c r="C8" s="25" t="s">
        <v>563</v>
      </c>
      <c r="D8" s="25" t="s">
        <v>620</v>
      </c>
      <c r="E8" s="25" t="s">
        <v>620</v>
      </c>
      <c r="F8" s="25" t="s">
        <v>620</v>
      </c>
      <c r="G8" s="25" t="s">
        <v>564</v>
      </c>
      <c r="H8" s="25" t="s">
        <v>349</v>
      </c>
      <c r="I8" s="25" t="s">
        <v>415</v>
      </c>
      <c r="J8" s="25" t="s">
        <v>216</v>
      </c>
      <c r="K8" s="25" t="s">
        <v>217</v>
      </c>
      <c r="L8" s="25" t="s">
        <v>218</v>
      </c>
      <c r="M8" s="25" t="s">
        <v>288</v>
      </c>
      <c r="N8" s="25" t="s">
        <v>341</v>
      </c>
      <c r="O8" s="25" t="s">
        <v>565</v>
      </c>
      <c r="P8" s="25" t="s">
        <v>616</v>
      </c>
      <c r="Q8" s="25" t="s">
        <v>619</v>
      </c>
      <c r="R8" s="25" t="s">
        <v>566</v>
      </c>
      <c r="S8" s="25" t="s">
        <v>296</v>
      </c>
      <c r="T8" s="25" t="s">
        <v>301</v>
      </c>
      <c r="U8" s="25" t="s">
        <v>40</v>
      </c>
      <c r="V8" s="25" t="s">
        <v>604</v>
      </c>
      <c r="W8" s="25" t="s">
        <v>614</v>
      </c>
      <c r="X8" s="25" t="s">
        <v>329</v>
      </c>
      <c r="Y8" s="25" t="s">
        <v>306</v>
      </c>
      <c r="Z8" s="26" t="s">
        <v>404</v>
      </c>
      <c r="AA8" s="25" t="s">
        <v>653</v>
      </c>
    </row>
    <row r="9" spans="1:27" ht="56" x14ac:dyDescent="0.2">
      <c r="A9" s="18" t="s">
        <v>32</v>
      </c>
      <c r="B9" s="18">
        <v>9205</v>
      </c>
      <c r="C9" s="25" t="s">
        <v>255</v>
      </c>
      <c r="D9" s="25" t="s">
        <v>620</v>
      </c>
      <c r="E9" s="25" t="s">
        <v>240</v>
      </c>
      <c r="F9" s="25" t="s">
        <v>220</v>
      </c>
      <c r="G9" s="25" t="s">
        <v>445</v>
      </c>
      <c r="H9" s="25" t="s">
        <v>454</v>
      </c>
      <c r="I9" s="25" t="s">
        <v>415</v>
      </c>
      <c r="J9" s="25" t="s">
        <v>216</v>
      </c>
      <c r="K9" s="25" t="s">
        <v>217</v>
      </c>
      <c r="L9" s="25" t="s">
        <v>218</v>
      </c>
      <c r="M9" s="25" t="s">
        <v>288</v>
      </c>
      <c r="N9" s="25" t="s">
        <v>340</v>
      </c>
      <c r="O9" s="25" t="s">
        <v>342</v>
      </c>
      <c r="P9" s="25" t="s">
        <v>616</v>
      </c>
      <c r="Q9" s="25" t="s">
        <v>619</v>
      </c>
      <c r="R9" s="25" t="s">
        <v>295</v>
      </c>
      <c r="S9" s="25" t="s">
        <v>296</v>
      </c>
      <c r="T9" s="25" t="s">
        <v>300</v>
      </c>
      <c r="U9" s="25" t="s">
        <v>40</v>
      </c>
      <c r="V9" s="25" t="s">
        <v>278</v>
      </c>
      <c r="W9" s="25" t="s">
        <v>305</v>
      </c>
      <c r="X9" s="25" t="s">
        <v>329</v>
      </c>
      <c r="Y9" s="25" t="s">
        <v>305</v>
      </c>
      <c r="Z9" s="26" t="s">
        <v>407</v>
      </c>
      <c r="AA9" s="25" t="s">
        <v>654</v>
      </c>
    </row>
    <row r="10" spans="1:27" ht="30" customHeight="1" x14ac:dyDescent="0.2">
      <c r="A10" s="19" t="s">
        <v>10</v>
      </c>
      <c r="B10" s="19" t="s">
        <v>236</v>
      </c>
      <c r="C10" s="28" t="s">
        <v>256</v>
      </c>
      <c r="D10" s="28" t="s">
        <v>220</v>
      </c>
      <c r="E10" s="28" t="s">
        <v>620</v>
      </c>
      <c r="F10" s="28" t="s">
        <v>241</v>
      </c>
      <c r="G10" s="28" t="s">
        <v>449</v>
      </c>
      <c r="H10" s="28" t="s">
        <v>458</v>
      </c>
      <c r="I10" s="10" t="s">
        <v>569</v>
      </c>
      <c r="J10" s="28" t="s">
        <v>216</v>
      </c>
      <c r="K10" s="28" t="s">
        <v>217</v>
      </c>
      <c r="L10" s="28" t="s">
        <v>218</v>
      </c>
      <c r="M10" s="28" t="s">
        <v>603</v>
      </c>
      <c r="N10" s="28" t="s">
        <v>341</v>
      </c>
      <c r="O10" s="28" t="s">
        <v>345</v>
      </c>
      <c r="P10" s="28" t="s">
        <v>271</v>
      </c>
      <c r="Q10" s="28" t="s">
        <v>620</v>
      </c>
      <c r="R10" s="28" t="s">
        <v>272</v>
      </c>
      <c r="S10" s="28" t="s">
        <v>296</v>
      </c>
      <c r="T10" s="28" t="s">
        <v>268</v>
      </c>
      <c r="U10" s="28" t="s">
        <v>40</v>
      </c>
      <c r="V10" s="28" t="s">
        <v>278</v>
      </c>
      <c r="W10" s="28" t="s">
        <v>280</v>
      </c>
      <c r="X10" s="28" t="s">
        <v>330</v>
      </c>
      <c r="Y10" s="28" t="s">
        <v>285</v>
      </c>
      <c r="Z10" s="10" t="s">
        <v>399</v>
      </c>
      <c r="AA10" s="28" t="s">
        <v>655</v>
      </c>
    </row>
    <row r="11" spans="1:27" ht="39" customHeight="1" x14ac:dyDescent="0.2">
      <c r="A11" s="19" t="s">
        <v>10</v>
      </c>
      <c r="B11" s="19" t="s">
        <v>552</v>
      </c>
      <c r="C11" s="28" t="s">
        <v>263</v>
      </c>
      <c r="D11" s="28" t="s">
        <v>235</v>
      </c>
      <c r="E11" s="28" t="s">
        <v>620</v>
      </c>
      <c r="F11" s="28" t="s">
        <v>242</v>
      </c>
      <c r="G11" s="28" t="s">
        <v>567</v>
      </c>
      <c r="H11" s="28" t="s">
        <v>568</v>
      </c>
      <c r="I11" s="10" t="s">
        <v>569</v>
      </c>
      <c r="J11" s="28" t="s">
        <v>570</v>
      </c>
      <c r="K11" s="28" t="s">
        <v>217</v>
      </c>
      <c r="L11" s="28" t="s">
        <v>218</v>
      </c>
      <c r="M11" s="28" t="s">
        <v>602</v>
      </c>
      <c r="N11" s="28" t="s">
        <v>341</v>
      </c>
      <c r="O11" s="28" t="s">
        <v>345</v>
      </c>
      <c r="P11" s="28" t="s">
        <v>271</v>
      </c>
      <c r="Q11" s="28" t="s">
        <v>620</v>
      </c>
      <c r="R11" s="28" t="s">
        <v>571</v>
      </c>
      <c r="S11" s="28" t="s">
        <v>296</v>
      </c>
      <c r="T11" s="28" t="s">
        <v>268</v>
      </c>
      <c r="U11" s="28" t="s">
        <v>40</v>
      </c>
      <c r="V11" s="28" t="s">
        <v>604</v>
      </c>
      <c r="W11" s="28" t="s">
        <v>605</v>
      </c>
      <c r="X11" s="28" t="s">
        <v>331</v>
      </c>
      <c r="Y11" s="28" t="s">
        <v>285</v>
      </c>
      <c r="Z11" s="10" t="s">
        <v>572</v>
      </c>
      <c r="AA11" s="28" t="s">
        <v>656</v>
      </c>
    </row>
    <row r="12" spans="1:27" ht="38" customHeight="1" x14ac:dyDescent="0.2">
      <c r="A12" s="19" t="s">
        <v>10</v>
      </c>
      <c r="B12" s="19" t="s">
        <v>553</v>
      </c>
      <c r="C12" s="28" t="s">
        <v>554</v>
      </c>
      <c r="D12" s="28" t="s">
        <v>646</v>
      </c>
      <c r="E12" s="28" t="s">
        <v>620</v>
      </c>
      <c r="F12" s="28" t="s">
        <v>645</v>
      </c>
      <c r="G12" s="28" t="s">
        <v>567</v>
      </c>
      <c r="H12" s="28" t="s">
        <v>573</v>
      </c>
      <c r="I12" s="10" t="s">
        <v>569</v>
      </c>
      <c r="J12" s="28" t="s">
        <v>570</v>
      </c>
      <c r="K12" s="28" t="s">
        <v>217</v>
      </c>
      <c r="L12" s="28" t="s">
        <v>218</v>
      </c>
      <c r="M12" s="28" t="s">
        <v>602</v>
      </c>
      <c r="N12" s="28" t="s">
        <v>341</v>
      </c>
      <c r="O12" s="28" t="s">
        <v>345</v>
      </c>
      <c r="P12" s="28" t="s">
        <v>271</v>
      </c>
      <c r="Q12" s="28" t="s">
        <v>624</v>
      </c>
      <c r="R12" s="28" t="s">
        <v>571</v>
      </c>
      <c r="S12" s="28" t="s">
        <v>296</v>
      </c>
      <c r="T12" s="28" t="s">
        <v>277</v>
      </c>
      <c r="U12" s="28" t="s">
        <v>40</v>
      </c>
      <c r="V12" s="28" t="s">
        <v>604</v>
      </c>
      <c r="W12" s="28" t="s">
        <v>606</v>
      </c>
      <c r="X12" s="28" t="s">
        <v>332</v>
      </c>
      <c r="Y12" s="28" t="s">
        <v>286</v>
      </c>
      <c r="Z12" s="10" t="s">
        <v>574</v>
      </c>
      <c r="AA12" s="28" t="s">
        <v>657</v>
      </c>
    </row>
    <row r="13" spans="1:27" ht="35" customHeight="1" x14ac:dyDescent="0.2">
      <c r="A13" s="19" t="s">
        <v>10</v>
      </c>
      <c r="B13" s="19" t="s">
        <v>102</v>
      </c>
      <c r="C13" s="28" t="s">
        <v>257</v>
      </c>
      <c r="D13" s="28" t="s">
        <v>235</v>
      </c>
      <c r="E13" s="28" t="s">
        <v>620</v>
      </c>
      <c r="F13" s="28" t="s">
        <v>242</v>
      </c>
      <c r="G13" s="28" t="s">
        <v>449</v>
      </c>
      <c r="H13" s="28" t="s">
        <v>458</v>
      </c>
      <c r="I13" s="10" t="s">
        <v>569</v>
      </c>
      <c r="J13" s="28" t="s">
        <v>216</v>
      </c>
      <c r="K13" s="28" t="s">
        <v>217</v>
      </c>
      <c r="L13" s="28" t="s">
        <v>218</v>
      </c>
      <c r="M13" s="28" t="s">
        <v>269</v>
      </c>
      <c r="N13" s="28" t="s">
        <v>341</v>
      </c>
      <c r="O13" s="28" t="s">
        <v>345</v>
      </c>
      <c r="P13" s="28" t="s">
        <v>271</v>
      </c>
      <c r="Q13" s="28" t="s">
        <v>620</v>
      </c>
      <c r="R13" s="28" t="s">
        <v>273</v>
      </c>
      <c r="S13" s="28" t="s">
        <v>296</v>
      </c>
      <c r="T13" s="28" t="s">
        <v>276</v>
      </c>
      <c r="U13" s="28" t="s">
        <v>40</v>
      </c>
      <c r="V13" s="28" t="s">
        <v>278</v>
      </c>
      <c r="W13" s="28" t="s">
        <v>281</v>
      </c>
      <c r="X13" s="28" t="s">
        <v>331</v>
      </c>
      <c r="Y13" s="28" t="s">
        <v>286</v>
      </c>
      <c r="Z13" s="10" t="s">
        <v>400</v>
      </c>
      <c r="AA13" s="28" t="s">
        <v>658</v>
      </c>
    </row>
    <row r="14" spans="1:27" ht="35" customHeight="1" x14ac:dyDescent="0.2">
      <c r="A14" s="19" t="s">
        <v>10</v>
      </c>
      <c r="B14" s="19" t="s">
        <v>237</v>
      </c>
      <c r="C14" s="28" t="s">
        <v>258</v>
      </c>
      <c r="D14" s="28" t="s">
        <v>646</v>
      </c>
      <c r="E14" s="28" t="s">
        <v>620</v>
      </c>
      <c r="F14" s="28" t="s">
        <v>645</v>
      </c>
      <c r="G14" s="28" t="s">
        <v>449</v>
      </c>
      <c r="H14" s="28" t="s">
        <v>458</v>
      </c>
      <c r="I14" s="10" t="s">
        <v>569</v>
      </c>
      <c r="J14" s="28" t="s">
        <v>216</v>
      </c>
      <c r="K14" s="28" t="s">
        <v>217</v>
      </c>
      <c r="L14" s="28" t="s">
        <v>218</v>
      </c>
      <c r="M14" s="28" t="s">
        <v>269</v>
      </c>
      <c r="N14" s="28" t="s">
        <v>341</v>
      </c>
      <c r="O14" s="28" t="s">
        <v>345</v>
      </c>
      <c r="P14" s="28" t="s">
        <v>271</v>
      </c>
      <c r="Q14" s="28" t="s">
        <v>620</v>
      </c>
      <c r="R14" s="28" t="s">
        <v>273</v>
      </c>
      <c r="S14" s="28" t="s">
        <v>296</v>
      </c>
      <c r="T14" s="28" t="s">
        <v>277</v>
      </c>
      <c r="U14" s="28" t="s">
        <v>40</v>
      </c>
      <c r="V14" s="28" t="s">
        <v>278</v>
      </c>
      <c r="W14" s="28" t="s">
        <v>282</v>
      </c>
      <c r="X14" s="28" t="s">
        <v>331</v>
      </c>
      <c r="Y14" s="28" t="s">
        <v>286</v>
      </c>
      <c r="Z14" s="10" t="s">
        <v>401</v>
      </c>
      <c r="AA14" s="28" t="s">
        <v>659</v>
      </c>
    </row>
    <row r="15" spans="1:27" ht="34" customHeight="1" x14ac:dyDescent="0.2">
      <c r="A15" s="19" t="s">
        <v>10</v>
      </c>
      <c r="B15" s="19" t="s">
        <v>238</v>
      </c>
      <c r="C15" s="28" t="s">
        <v>259</v>
      </c>
      <c r="D15" s="28">
        <v>8711</v>
      </c>
      <c r="E15" s="28" t="s">
        <v>620</v>
      </c>
      <c r="F15" s="28" t="s">
        <v>241</v>
      </c>
      <c r="G15" s="28" t="s">
        <v>450</v>
      </c>
      <c r="H15" s="28" t="s">
        <v>459</v>
      </c>
      <c r="I15" s="10" t="s">
        <v>569</v>
      </c>
      <c r="J15" s="28" t="s">
        <v>216</v>
      </c>
      <c r="K15" s="28" t="s">
        <v>217</v>
      </c>
      <c r="L15" s="28" t="s">
        <v>218</v>
      </c>
      <c r="M15" s="28" t="s">
        <v>269</v>
      </c>
      <c r="N15" s="28" t="s">
        <v>344</v>
      </c>
      <c r="O15" s="28" t="s">
        <v>342</v>
      </c>
      <c r="P15" s="28" t="s">
        <v>271</v>
      </c>
      <c r="Q15" s="28" t="s">
        <v>624</v>
      </c>
      <c r="R15" s="28" t="s">
        <v>274</v>
      </c>
      <c r="S15" s="28" t="s">
        <v>296</v>
      </c>
      <c r="T15" s="28" t="s">
        <v>268</v>
      </c>
      <c r="U15" s="28" t="s">
        <v>40</v>
      </c>
      <c r="V15" s="28" t="s">
        <v>279</v>
      </c>
      <c r="W15" s="28" t="s">
        <v>280</v>
      </c>
      <c r="X15" s="10" t="s">
        <v>330</v>
      </c>
      <c r="Y15" s="28" t="s">
        <v>285</v>
      </c>
      <c r="Z15" s="10" t="s">
        <v>402</v>
      </c>
      <c r="AA15" s="28" t="s">
        <v>660</v>
      </c>
    </row>
    <row r="16" spans="1:27" ht="32" customHeight="1" x14ac:dyDescent="0.2">
      <c r="A16" s="19" t="s">
        <v>10</v>
      </c>
      <c r="B16" s="19" t="s">
        <v>555</v>
      </c>
      <c r="C16" s="28" t="s">
        <v>259</v>
      </c>
      <c r="D16" s="28">
        <v>8705</v>
      </c>
      <c r="E16" s="28" t="s">
        <v>620</v>
      </c>
      <c r="F16" s="28" t="s">
        <v>219</v>
      </c>
      <c r="G16" s="28" t="s">
        <v>575</v>
      </c>
      <c r="H16" s="28" t="s">
        <v>459</v>
      </c>
      <c r="I16" s="10" t="s">
        <v>576</v>
      </c>
      <c r="J16" s="28" t="s">
        <v>216</v>
      </c>
      <c r="K16" s="28" t="s">
        <v>217</v>
      </c>
      <c r="L16" s="28" t="s">
        <v>218</v>
      </c>
      <c r="M16" s="28" t="s">
        <v>269</v>
      </c>
      <c r="N16" s="28" t="s">
        <v>344</v>
      </c>
      <c r="O16" s="28" t="s">
        <v>342</v>
      </c>
      <c r="P16" s="28" t="s">
        <v>271</v>
      </c>
      <c r="Q16" s="28" t="s">
        <v>624</v>
      </c>
      <c r="R16" s="28" t="s">
        <v>274</v>
      </c>
      <c r="S16" s="28" t="s">
        <v>296</v>
      </c>
      <c r="T16" s="28" t="s">
        <v>268</v>
      </c>
      <c r="U16" s="28" t="s">
        <v>40</v>
      </c>
      <c r="V16" s="28" t="s">
        <v>279</v>
      </c>
      <c r="W16" s="28" t="s">
        <v>607</v>
      </c>
      <c r="X16" s="10" t="s">
        <v>331</v>
      </c>
      <c r="Y16" s="28" t="s">
        <v>285</v>
      </c>
      <c r="Z16" s="10" t="s">
        <v>577</v>
      </c>
      <c r="AA16" s="28" t="s">
        <v>661</v>
      </c>
    </row>
    <row r="17" spans="1:27" ht="35" customHeight="1" x14ac:dyDescent="0.2">
      <c r="A17" s="19" t="s">
        <v>10</v>
      </c>
      <c r="B17" s="19" t="s">
        <v>556</v>
      </c>
      <c r="C17" s="28" t="s">
        <v>578</v>
      </c>
      <c r="D17" s="28" t="s">
        <v>620</v>
      </c>
      <c r="E17" s="28" t="s">
        <v>620</v>
      </c>
      <c r="F17" s="28" t="s">
        <v>620</v>
      </c>
      <c r="G17" s="28" t="s">
        <v>579</v>
      </c>
      <c r="H17" s="28" t="s">
        <v>580</v>
      </c>
      <c r="I17" s="10" t="s">
        <v>581</v>
      </c>
      <c r="J17" s="28" t="s">
        <v>216</v>
      </c>
      <c r="K17" s="28" t="s">
        <v>217</v>
      </c>
      <c r="L17" s="28" t="s">
        <v>218</v>
      </c>
      <c r="M17" s="28" t="s">
        <v>269</v>
      </c>
      <c r="N17" s="33" t="s">
        <v>582</v>
      </c>
      <c r="O17" s="28" t="s">
        <v>342</v>
      </c>
      <c r="P17" s="28" t="s">
        <v>271</v>
      </c>
      <c r="Q17" s="28" t="s">
        <v>620</v>
      </c>
      <c r="R17" s="28" t="s">
        <v>583</v>
      </c>
      <c r="S17" s="28" t="s">
        <v>296</v>
      </c>
      <c r="T17" s="28" t="s">
        <v>584</v>
      </c>
      <c r="U17" s="28" t="s">
        <v>40</v>
      </c>
      <c r="V17" s="28" t="s">
        <v>279</v>
      </c>
      <c r="W17" s="28" t="s">
        <v>608</v>
      </c>
      <c r="X17" s="10" t="s">
        <v>609</v>
      </c>
      <c r="Y17" s="28" t="s">
        <v>585</v>
      </c>
      <c r="Z17" s="10" t="s">
        <v>586</v>
      </c>
      <c r="AA17" s="28" t="s">
        <v>662</v>
      </c>
    </row>
    <row r="18" spans="1:27" ht="33" customHeight="1" x14ac:dyDescent="0.2">
      <c r="A18" s="19" t="s">
        <v>10</v>
      </c>
      <c r="B18" s="19" t="s">
        <v>239</v>
      </c>
      <c r="C18" s="28" t="s">
        <v>260</v>
      </c>
      <c r="D18" s="28">
        <v>8705</v>
      </c>
      <c r="E18" s="28" t="s">
        <v>620</v>
      </c>
      <c r="F18" s="28" t="s">
        <v>642</v>
      </c>
      <c r="G18" s="28" t="s">
        <v>450</v>
      </c>
      <c r="H18" s="28" t="s">
        <v>459</v>
      </c>
      <c r="I18" s="10" t="s">
        <v>569</v>
      </c>
      <c r="J18" s="28" t="s">
        <v>216</v>
      </c>
      <c r="K18" s="28" t="s">
        <v>217</v>
      </c>
      <c r="L18" s="28" t="s">
        <v>218</v>
      </c>
      <c r="M18" s="28" t="s">
        <v>269</v>
      </c>
      <c r="N18" s="28" t="s">
        <v>344</v>
      </c>
      <c r="O18" s="28" t="s">
        <v>342</v>
      </c>
      <c r="P18" s="28" t="s">
        <v>271</v>
      </c>
      <c r="Q18" s="28" t="s">
        <v>624</v>
      </c>
      <c r="R18" s="28" t="s">
        <v>275</v>
      </c>
      <c r="S18" s="28" t="s">
        <v>296</v>
      </c>
      <c r="T18" s="28" t="s">
        <v>277</v>
      </c>
      <c r="U18" s="28" t="s">
        <v>40</v>
      </c>
      <c r="V18" s="28" t="s">
        <v>279</v>
      </c>
      <c r="W18" s="28" t="s">
        <v>283</v>
      </c>
      <c r="X18" s="28" t="s">
        <v>331</v>
      </c>
      <c r="Y18" s="28" t="s">
        <v>286</v>
      </c>
      <c r="Z18" s="10" t="s">
        <v>403</v>
      </c>
      <c r="AA18" s="10" t="s">
        <v>663</v>
      </c>
    </row>
    <row r="19" spans="1:27" ht="35" customHeight="1" x14ac:dyDescent="0.2">
      <c r="A19" s="19" t="s">
        <v>10</v>
      </c>
      <c r="B19" s="19" t="s">
        <v>240</v>
      </c>
      <c r="C19" s="28" t="s">
        <v>261</v>
      </c>
      <c r="D19" s="28">
        <v>9205</v>
      </c>
      <c r="E19" s="28" t="s">
        <v>620</v>
      </c>
      <c r="F19" s="28" t="s">
        <v>220</v>
      </c>
      <c r="G19" s="28" t="s">
        <v>451</v>
      </c>
      <c r="H19" s="28" t="s">
        <v>459</v>
      </c>
      <c r="I19" s="10" t="s">
        <v>569</v>
      </c>
      <c r="J19" s="28" t="s">
        <v>216</v>
      </c>
      <c r="K19" s="28" t="s">
        <v>217</v>
      </c>
      <c r="L19" s="28" t="s">
        <v>218</v>
      </c>
      <c r="M19" s="28" t="s">
        <v>269</v>
      </c>
      <c r="N19" s="28" t="s">
        <v>344</v>
      </c>
      <c r="O19" s="28" t="s">
        <v>342</v>
      </c>
      <c r="P19" s="28" t="s">
        <v>271</v>
      </c>
      <c r="Q19" s="28" t="s">
        <v>624</v>
      </c>
      <c r="R19" s="28" t="s">
        <v>274</v>
      </c>
      <c r="S19" s="28" t="s">
        <v>296</v>
      </c>
      <c r="T19" s="28" t="s">
        <v>277</v>
      </c>
      <c r="U19" s="28" t="s">
        <v>40</v>
      </c>
      <c r="V19" s="28" t="s">
        <v>279</v>
      </c>
      <c r="W19" s="28" t="s">
        <v>284</v>
      </c>
      <c r="X19" s="28" t="s">
        <v>331</v>
      </c>
      <c r="Y19" s="28" t="s">
        <v>286</v>
      </c>
      <c r="Z19" s="10" t="s">
        <v>287</v>
      </c>
      <c r="AA19" s="10" t="s">
        <v>664</v>
      </c>
    </row>
    <row r="20" spans="1:27" ht="28" x14ac:dyDescent="0.2">
      <c r="A20" s="20" t="s">
        <v>11</v>
      </c>
      <c r="B20" s="21" t="s">
        <v>243</v>
      </c>
      <c r="C20" s="29" t="s">
        <v>262</v>
      </c>
      <c r="D20" s="29">
        <v>8711</v>
      </c>
      <c r="E20" s="29" t="s">
        <v>643</v>
      </c>
      <c r="F20" s="29" t="s">
        <v>620</v>
      </c>
      <c r="G20" s="29" t="s">
        <v>452</v>
      </c>
      <c r="H20" s="29" t="s">
        <v>460</v>
      </c>
      <c r="I20" s="20" t="s">
        <v>309</v>
      </c>
      <c r="J20" s="29" t="s">
        <v>216</v>
      </c>
      <c r="K20" s="29" t="s">
        <v>217</v>
      </c>
      <c r="L20" s="29" t="s">
        <v>313</v>
      </c>
      <c r="M20" s="29" t="s">
        <v>314</v>
      </c>
      <c r="N20" s="29" t="s">
        <v>346</v>
      </c>
      <c r="O20" s="29" t="s">
        <v>347</v>
      </c>
      <c r="P20" s="29" t="s">
        <v>622</v>
      </c>
      <c r="Q20" s="29" t="s">
        <v>619</v>
      </c>
      <c r="R20" s="20" t="s">
        <v>427</v>
      </c>
      <c r="S20" s="29" t="s">
        <v>296</v>
      </c>
      <c r="T20" s="29" t="s">
        <v>268</v>
      </c>
      <c r="U20" s="29" t="s">
        <v>40</v>
      </c>
      <c r="V20" s="29" t="s">
        <v>279</v>
      </c>
      <c r="W20" s="29" t="s">
        <v>333</v>
      </c>
      <c r="X20" s="29" t="s">
        <v>332</v>
      </c>
      <c r="Y20" s="29" t="s">
        <v>323</v>
      </c>
      <c r="Z20" s="20" t="s">
        <v>408</v>
      </c>
      <c r="AA20" s="20" t="s">
        <v>665</v>
      </c>
    </row>
    <row r="21" spans="1:27" ht="28" x14ac:dyDescent="0.2">
      <c r="A21" s="20" t="s">
        <v>11</v>
      </c>
      <c r="B21" s="21" t="s">
        <v>557</v>
      </c>
      <c r="C21" s="29" t="s">
        <v>587</v>
      </c>
      <c r="D21" s="29">
        <v>8711</v>
      </c>
      <c r="E21" s="29" t="s">
        <v>643</v>
      </c>
      <c r="F21" s="29" t="s">
        <v>620</v>
      </c>
      <c r="G21" s="29" t="s">
        <v>452</v>
      </c>
      <c r="H21" s="29" t="s">
        <v>588</v>
      </c>
      <c r="I21" s="20" t="s">
        <v>589</v>
      </c>
      <c r="J21" s="29" t="s">
        <v>216</v>
      </c>
      <c r="K21" s="34" t="s">
        <v>593</v>
      </c>
      <c r="L21" s="29" t="s">
        <v>218</v>
      </c>
      <c r="M21" s="29" t="s">
        <v>314</v>
      </c>
      <c r="N21" s="29" t="s">
        <v>346</v>
      </c>
      <c r="O21" s="29" t="s">
        <v>347</v>
      </c>
      <c r="P21" s="29" t="s">
        <v>622</v>
      </c>
      <c r="Q21" s="29" t="s">
        <v>619</v>
      </c>
      <c r="R21" s="20" t="s">
        <v>271</v>
      </c>
      <c r="S21" s="29" t="s">
        <v>316</v>
      </c>
      <c r="T21" s="29" t="s">
        <v>318</v>
      </c>
      <c r="U21" s="29" t="s">
        <v>40</v>
      </c>
      <c r="V21" s="29"/>
      <c r="W21" s="29" t="s">
        <v>334</v>
      </c>
      <c r="X21" s="29" t="s">
        <v>332</v>
      </c>
      <c r="Y21" s="29" t="s">
        <v>590</v>
      </c>
      <c r="Z21" s="20" t="s">
        <v>591</v>
      </c>
      <c r="AA21" s="35" t="s">
        <v>666</v>
      </c>
    </row>
    <row r="22" spans="1:27" ht="28" x14ac:dyDescent="0.2">
      <c r="A22" s="20" t="s">
        <v>11</v>
      </c>
      <c r="B22" s="21" t="s">
        <v>244</v>
      </c>
      <c r="C22" s="29" t="s">
        <v>263</v>
      </c>
      <c r="D22" s="29" t="s">
        <v>235</v>
      </c>
      <c r="E22" s="29" t="s">
        <v>102</v>
      </c>
      <c r="F22" s="29" t="s">
        <v>620</v>
      </c>
      <c r="G22" s="29" t="s">
        <v>453</v>
      </c>
      <c r="H22" s="29" t="s">
        <v>461</v>
      </c>
      <c r="I22" s="20" t="s">
        <v>310</v>
      </c>
      <c r="J22" s="29" t="s">
        <v>216</v>
      </c>
      <c r="K22" s="29" t="s">
        <v>217</v>
      </c>
      <c r="L22" s="29" t="s">
        <v>315</v>
      </c>
      <c r="M22" s="29" t="s">
        <v>314</v>
      </c>
      <c r="N22" s="29" t="s">
        <v>346</v>
      </c>
      <c r="O22" s="29" t="s">
        <v>347</v>
      </c>
      <c r="P22" s="29" t="s">
        <v>623</v>
      </c>
      <c r="Q22" s="29" t="s">
        <v>619</v>
      </c>
      <c r="R22" s="20" t="s">
        <v>428</v>
      </c>
      <c r="S22" s="29" t="s">
        <v>296</v>
      </c>
      <c r="T22" s="29" t="s">
        <v>268</v>
      </c>
      <c r="U22" s="29" t="s">
        <v>40</v>
      </c>
      <c r="V22" s="29" t="s">
        <v>321</v>
      </c>
      <c r="W22" s="29" t="s">
        <v>333</v>
      </c>
      <c r="X22" s="29" t="s">
        <v>332</v>
      </c>
      <c r="Y22" s="29" t="s">
        <v>324</v>
      </c>
      <c r="Z22" s="20" t="s">
        <v>409</v>
      </c>
      <c r="AA22" s="20" t="s">
        <v>667</v>
      </c>
    </row>
    <row r="23" spans="1:27" ht="28" x14ac:dyDescent="0.2">
      <c r="A23" s="20" t="s">
        <v>11</v>
      </c>
      <c r="B23" s="21" t="s">
        <v>558</v>
      </c>
      <c r="C23" s="29" t="s">
        <v>592</v>
      </c>
      <c r="D23" s="29" t="s">
        <v>235</v>
      </c>
      <c r="E23" s="29" t="s">
        <v>552</v>
      </c>
      <c r="F23" s="29" t="s">
        <v>620</v>
      </c>
      <c r="G23" s="29" t="s">
        <v>453</v>
      </c>
      <c r="H23" s="29" t="s">
        <v>461</v>
      </c>
      <c r="I23" s="20" t="s">
        <v>581</v>
      </c>
      <c r="J23" s="29" t="s">
        <v>63</v>
      </c>
      <c r="K23" s="34" t="s">
        <v>593</v>
      </c>
      <c r="L23" s="29" t="s">
        <v>315</v>
      </c>
      <c r="M23" s="29" t="s">
        <v>314</v>
      </c>
      <c r="N23" s="29" t="s">
        <v>346</v>
      </c>
      <c r="O23" s="29" t="s">
        <v>347</v>
      </c>
      <c r="P23" s="29" t="s">
        <v>623</v>
      </c>
      <c r="Q23" s="29" t="s">
        <v>619</v>
      </c>
      <c r="R23" s="20" t="s">
        <v>594</v>
      </c>
      <c r="S23" s="29" t="s">
        <v>296</v>
      </c>
      <c r="T23" s="29" t="s">
        <v>268</v>
      </c>
      <c r="U23" s="29" t="s">
        <v>40</v>
      </c>
      <c r="V23" s="29"/>
      <c r="W23" s="29" t="s">
        <v>610</v>
      </c>
      <c r="X23" s="29" t="s">
        <v>332</v>
      </c>
      <c r="Y23" s="29" t="s">
        <v>595</v>
      </c>
      <c r="Z23" s="20" t="s">
        <v>596</v>
      </c>
      <c r="AA23" s="20" t="s">
        <v>668</v>
      </c>
    </row>
    <row r="24" spans="1:27" ht="28" x14ac:dyDescent="0.2">
      <c r="A24" s="20" t="s">
        <v>11</v>
      </c>
      <c r="B24" s="21" t="s">
        <v>245</v>
      </c>
      <c r="C24" s="29" t="s">
        <v>264</v>
      </c>
      <c r="D24" s="29" t="s">
        <v>646</v>
      </c>
      <c r="E24" s="29" t="s">
        <v>647</v>
      </c>
      <c r="F24" s="29" t="s">
        <v>620</v>
      </c>
      <c r="G24" s="29" t="s">
        <v>453</v>
      </c>
      <c r="H24" s="29" t="s">
        <v>461</v>
      </c>
      <c r="I24" s="20" t="s">
        <v>311</v>
      </c>
      <c r="J24" s="29" t="s">
        <v>216</v>
      </c>
      <c r="K24" s="29" t="s">
        <v>217</v>
      </c>
      <c r="L24" s="29" t="s">
        <v>315</v>
      </c>
      <c r="M24" s="29" t="s">
        <v>314</v>
      </c>
      <c r="N24" s="29" t="s">
        <v>346</v>
      </c>
      <c r="O24" s="29" t="s">
        <v>347</v>
      </c>
      <c r="P24" s="29" t="s">
        <v>623</v>
      </c>
      <c r="Q24" s="29" t="s">
        <v>619</v>
      </c>
      <c r="R24" s="20" t="s">
        <v>429</v>
      </c>
      <c r="S24" s="29" t="s">
        <v>316</v>
      </c>
      <c r="T24" s="29" t="s">
        <v>318</v>
      </c>
      <c r="U24" s="29" t="s">
        <v>40</v>
      </c>
      <c r="V24" s="29" t="s">
        <v>321</v>
      </c>
      <c r="W24" s="29" t="s">
        <v>334</v>
      </c>
      <c r="X24" s="29" t="s">
        <v>332</v>
      </c>
      <c r="Y24" s="29" t="s">
        <v>325</v>
      </c>
      <c r="Z24" s="20" t="s">
        <v>410</v>
      </c>
      <c r="AA24" s="20" t="s">
        <v>669</v>
      </c>
    </row>
    <row r="25" spans="1:27" ht="28" x14ac:dyDescent="0.2">
      <c r="A25" s="20" t="s">
        <v>11</v>
      </c>
      <c r="B25" s="21" t="s">
        <v>246</v>
      </c>
      <c r="C25" s="29" t="s">
        <v>265</v>
      </c>
      <c r="D25" s="29">
        <v>8705</v>
      </c>
      <c r="E25" s="29" t="s">
        <v>555</v>
      </c>
      <c r="F25" s="29" t="s">
        <v>620</v>
      </c>
      <c r="G25" s="29" t="s">
        <v>452</v>
      </c>
      <c r="H25" s="29" t="s">
        <v>462</v>
      </c>
      <c r="I25" s="20" t="s">
        <v>310</v>
      </c>
      <c r="J25" s="29" t="s">
        <v>216</v>
      </c>
      <c r="K25" s="29" t="s">
        <v>217</v>
      </c>
      <c r="L25" s="29" t="s">
        <v>313</v>
      </c>
      <c r="M25" s="29" t="s">
        <v>314</v>
      </c>
      <c r="N25" s="29" t="s">
        <v>346</v>
      </c>
      <c r="O25" s="29" t="s">
        <v>342</v>
      </c>
      <c r="P25" s="29" t="s">
        <v>625</v>
      </c>
      <c r="Q25" s="29" t="s">
        <v>627</v>
      </c>
      <c r="R25" s="20" t="s">
        <v>430</v>
      </c>
      <c r="S25" s="29" t="s">
        <v>296</v>
      </c>
      <c r="T25" s="29" t="s">
        <v>317</v>
      </c>
      <c r="U25" s="29" t="s">
        <v>40</v>
      </c>
      <c r="V25" s="29" t="s">
        <v>321</v>
      </c>
      <c r="W25" s="29" t="s">
        <v>333</v>
      </c>
      <c r="X25" s="29" t="s">
        <v>332</v>
      </c>
      <c r="Y25" s="29" t="s">
        <v>324</v>
      </c>
      <c r="Z25" s="20" t="s">
        <v>411</v>
      </c>
      <c r="AA25" s="20" t="s">
        <v>670</v>
      </c>
    </row>
    <row r="26" spans="1:27" ht="28" x14ac:dyDescent="0.2">
      <c r="A26" s="20" t="s">
        <v>11</v>
      </c>
      <c r="B26" s="21" t="s">
        <v>247</v>
      </c>
      <c r="C26" s="29" t="s">
        <v>260</v>
      </c>
      <c r="D26" s="29">
        <v>8705</v>
      </c>
      <c r="E26" s="29" t="s">
        <v>239</v>
      </c>
      <c r="F26" s="29" t="s">
        <v>620</v>
      </c>
      <c r="G26" s="29" t="s">
        <v>452</v>
      </c>
      <c r="H26" s="29" t="s">
        <v>462</v>
      </c>
      <c r="I26" s="20" t="s">
        <v>311</v>
      </c>
      <c r="J26" s="29" t="s">
        <v>216</v>
      </c>
      <c r="K26" s="29" t="s">
        <v>217</v>
      </c>
      <c r="L26" s="29" t="s">
        <v>313</v>
      </c>
      <c r="M26" s="29" t="s">
        <v>314</v>
      </c>
      <c r="N26" s="29" t="s">
        <v>346</v>
      </c>
      <c r="O26" s="29" t="s">
        <v>342</v>
      </c>
      <c r="P26" s="29" t="s">
        <v>625</v>
      </c>
      <c r="Q26" s="29" t="s">
        <v>627</v>
      </c>
      <c r="R26" s="20" t="s">
        <v>431</v>
      </c>
      <c r="S26" s="29" t="s">
        <v>316</v>
      </c>
      <c r="T26" s="29" t="s">
        <v>318</v>
      </c>
      <c r="U26" s="29" t="s">
        <v>40</v>
      </c>
      <c r="V26" s="29" t="s">
        <v>321</v>
      </c>
      <c r="W26" s="29" t="s">
        <v>334</v>
      </c>
      <c r="X26" s="29" t="s">
        <v>332</v>
      </c>
      <c r="Y26" s="29" t="s">
        <v>326</v>
      </c>
      <c r="Z26" s="20" t="s">
        <v>412</v>
      </c>
      <c r="AA26" s="20" t="s">
        <v>671</v>
      </c>
    </row>
    <row r="27" spans="1:27" ht="42" x14ac:dyDescent="0.2">
      <c r="A27" s="20" t="s">
        <v>11</v>
      </c>
      <c r="B27" s="21" t="s">
        <v>248</v>
      </c>
      <c r="C27" s="29" t="s">
        <v>266</v>
      </c>
      <c r="D27" s="29">
        <v>9205</v>
      </c>
      <c r="E27" s="29" t="s">
        <v>240</v>
      </c>
      <c r="F27" s="29" t="s">
        <v>620</v>
      </c>
      <c r="G27" s="29" t="s">
        <v>452</v>
      </c>
      <c r="H27" s="29" t="s">
        <v>462</v>
      </c>
      <c r="I27" s="20" t="s">
        <v>63</v>
      </c>
      <c r="J27" s="29" t="s">
        <v>216</v>
      </c>
      <c r="K27" s="29" t="s">
        <v>217</v>
      </c>
      <c r="L27" s="29" t="s">
        <v>313</v>
      </c>
      <c r="M27" s="29" t="s">
        <v>314</v>
      </c>
      <c r="N27" s="29" t="s">
        <v>346</v>
      </c>
      <c r="O27" s="29" t="s">
        <v>342</v>
      </c>
      <c r="P27" s="29" t="s">
        <v>625</v>
      </c>
      <c r="Q27" s="29" t="s">
        <v>627</v>
      </c>
      <c r="R27" s="20" t="s">
        <v>432</v>
      </c>
      <c r="S27" s="29" t="s">
        <v>296</v>
      </c>
      <c r="T27" s="29" t="s">
        <v>319</v>
      </c>
      <c r="U27" s="29" t="s">
        <v>40</v>
      </c>
      <c r="V27" s="29" t="s">
        <v>321</v>
      </c>
      <c r="W27" s="29" t="s">
        <v>335</v>
      </c>
      <c r="X27" s="29" t="s">
        <v>332</v>
      </c>
      <c r="Y27" s="29" t="s">
        <v>327</v>
      </c>
      <c r="Z27" s="20" t="s">
        <v>413</v>
      </c>
      <c r="AA27" s="20" t="s">
        <v>672</v>
      </c>
    </row>
    <row r="28" spans="1:27" ht="32" x14ac:dyDescent="0.2">
      <c r="A28" s="20" t="s">
        <v>11</v>
      </c>
      <c r="B28" s="21" t="s">
        <v>249</v>
      </c>
      <c r="C28" s="29" t="s">
        <v>267</v>
      </c>
      <c r="D28" s="29">
        <v>8707</v>
      </c>
      <c r="E28" s="29" t="s">
        <v>240</v>
      </c>
      <c r="F28" s="29" t="s">
        <v>620</v>
      </c>
      <c r="G28" s="29" t="s">
        <v>452</v>
      </c>
      <c r="H28" s="29" t="s">
        <v>463</v>
      </c>
      <c r="I28" s="20" t="s">
        <v>312</v>
      </c>
      <c r="J28" s="29" t="s">
        <v>216</v>
      </c>
      <c r="K28" s="29" t="s">
        <v>217</v>
      </c>
      <c r="L28" s="29" t="s">
        <v>313</v>
      </c>
      <c r="M28" s="29" t="s">
        <v>314</v>
      </c>
      <c r="N28" s="29" t="s">
        <v>346</v>
      </c>
      <c r="O28" s="29" t="s">
        <v>342</v>
      </c>
      <c r="P28" s="29" t="s">
        <v>626</v>
      </c>
      <c r="Q28" s="29" t="s">
        <v>619</v>
      </c>
      <c r="R28" s="20" t="s">
        <v>433</v>
      </c>
      <c r="S28" s="29" t="s">
        <v>296</v>
      </c>
      <c r="T28" s="29" t="s">
        <v>268</v>
      </c>
      <c r="U28" s="29" t="s">
        <v>40</v>
      </c>
      <c r="V28" s="29" t="s">
        <v>321</v>
      </c>
      <c r="W28" s="29" t="s">
        <v>336</v>
      </c>
      <c r="X28" s="29" t="s">
        <v>332</v>
      </c>
      <c r="Y28" s="30" t="s">
        <v>328</v>
      </c>
      <c r="Z28" s="20" t="s">
        <v>414</v>
      </c>
      <c r="AA28" s="20" t="s">
        <v>673</v>
      </c>
    </row>
    <row r="29" spans="1:27" ht="42" x14ac:dyDescent="0.2">
      <c r="A29" s="31" t="s">
        <v>11</v>
      </c>
      <c r="B29" s="32" t="s">
        <v>559</v>
      </c>
      <c r="C29" s="29" t="s">
        <v>597</v>
      </c>
      <c r="D29" s="29">
        <v>8707</v>
      </c>
      <c r="E29" s="29" t="s">
        <v>239</v>
      </c>
      <c r="F29" s="29" t="s">
        <v>620</v>
      </c>
      <c r="G29" s="29" t="s">
        <v>452</v>
      </c>
      <c r="H29" s="29" t="s">
        <v>463</v>
      </c>
      <c r="I29" s="20" t="s">
        <v>598</v>
      </c>
      <c r="J29" s="29" t="s">
        <v>216</v>
      </c>
      <c r="K29" s="34" t="s">
        <v>593</v>
      </c>
      <c r="L29" s="29" t="s">
        <v>313</v>
      </c>
      <c r="M29" s="29" t="s">
        <v>314</v>
      </c>
      <c r="N29" s="29" t="s">
        <v>346</v>
      </c>
      <c r="O29" s="29" t="s">
        <v>342</v>
      </c>
      <c r="P29" s="29" t="s">
        <v>626</v>
      </c>
      <c r="Q29" s="29" t="s">
        <v>619</v>
      </c>
      <c r="R29" s="20" t="s">
        <v>599</v>
      </c>
      <c r="S29" s="20" t="s">
        <v>316</v>
      </c>
      <c r="T29" s="29" t="s">
        <v>318</v>
      </c>
      <c r="U29" s="29" t="s">
        <v>40</v>
      </c>
      <c r="V29" s="29" t="s">
        <v>322</v>
      </c>
      <c r="W29" s="20" t="s">
        <v>334</v>
      </c>
      <c r="X29" s="20" t="s">
        <v>332</v>
      </c>
      <c r="Y29" s="29" t="s">
        <v>600</v>
      </c>
      <c r="Z29" s="20" t="s">
        <v>601</v>
      </c>
      <c r="AA29" s="20" t="s">
        <v>674</v>
      </c>
    </row>
    <row r="30" spans="1:27" x14ac:dyDescent="0.2">
      <c r="E30" s="38"/>
    </row>
  </sheetData>
  <mergeCells count="1">
    <mergeCell ref="A1:AA1"/>
  </mergeCells>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16"/>
  <sheetViews>
    <sheetView topLeftCell="I1" zoomScale="131" workbookViewId="0">
      <selection activeCell="F18" sqref="F18"/>
    </sheetView>
  </sheetViews>
  <sheetFormatPr baseColWidth="10" defaultColWidth="8.83203125" defaultRowHeight="15" x14ac:dyDescent="0.2"/>
  <cols>
    <col min="1" max="1" width="26" customWidth="1"/>
    <col min="2" max="3" width="20" customWidth="1"/>
    <col min="4" max="5" width="16" customWidth="1"/>
    <col min="6" max="6" width="22.83203125" customWidth="1"/>
    <col min="7" max="7" width="22.1640625" customWidth="1"/>
    <col min="8" max="8" width="16" customWidth="1"/>
    <col min="9" max="9" width="14" customWidth="1"/>
    <col min="10" max="10" width="76.83203125" customWidth="1"/>
    <col min="11" max="11" width="12" customWidth="1"/>
  </cols>
  <sheetData>
    <row r="1" spans="1:12" x14ac:dyDescent="0.2">
      <c r="A1" s="109"/>
      <c r="B1" s="110"/>
      <c r="C1" s="110"/>
      <c r="D1" s="110"/>
      <c r="E1" s="110"/>
      <c r="F1" s="110"/>
      <c r="G1" s="110"/>
      <c r="H1" s="110"/>
      <c r="I1" s="110"/>
      <c r="J1" s="110"/>
      <c r="K1" s="110"/>
    </row>
    <row r="2" spans="1:12" ht="30" x14ac:dyDescent="0.2">
      <c r="A2" s="4" t="s">
        <v>8</v>
      </c>
      <c r="B2" s="4" t="s">
        <v>9</v>
      </c>
      <c r="C2" s="4" t="s">
        <v>10</v>
      </c>
      <c r="D2" s="4" t="s">
        <v>11</v>
      </c>
      <c r="E2" s="4" t="s">
        <v>1242</v>
      </c>
      <c r="F2" s="4" t="s">
        <v>210</v>
      </c>
      <c r="G2" s="4" t="s">
        <v>209</v>
      </c>
      <c r="H2" s="4" t="s">
        <v>13</v>
      </c>
      <c r="I2" s="4" t="s">
        <v>14</v>
      </c>
      <c r="J2" s="4" t="s">
        <v>15</v>
      </c>
      <c r="K2" s="4" t="s">
        <v>16</v>
      </c>
      <c r="L2" s="4" t="s">
        <v>152</v>
      </c>
    </row>
    <row r="3" spans="1:12" x14ac:dyDescent="0.2">
      <c r="A3" s="7" t="s">
        <v>17</v>
      </c>
      <c r="B3" s="7" t="s">
        <v>198</v>
      </c>
      <c r="C3" s="7" t="s">
        <v>198</v>
      </c>
      <c r="D3" s="7" t="s">
        <v>199</v>
      </c>
      <c r="E3" t="s">
        <v>1243</v>
      </c>
      <c r="F3" t="s">
        <v>199</v>
      </c>
      <c r="G3" t="s">
        <v>201</v>
      </c>
      <c r="H3" s="7" t="s">
        <v>29</v>
      </c>
      <c r="I3" s="7" t="s">
        <v>214</v>
      </c>
      <c r="J3" s="7" t="s">
        <v>221</v>
      </c>
      <c r="K3" t="s">
        <v>392</v>
      </c>
      <c r="L3" t="s">
        <v>398</v>
      </c>
    </row>
    <row r="4" spans="1:12" x14ac:dyDescent="0.2">
      <c r="A4" s="5" t="s">
        <v>21</v>
      </c>
      <c r="B4" t="s">
        <v>198</v>
      </c>
      <c r="C4" t="s">
        <v>198</v>
      </c>
      <c r="D4" t="s">
        <v>199</v>
      </c>
      <c r="E4" t="s">
        <v>1243</v>
      </c>
      <c r="F4" s="7" t="s">
        <v>211</v>
      </c>
      <c r="G4" t="s">
        <v>201</v>
      </c>
      <c r="H4" s="5" t="s">
        <v>23</v>
      </c>
      <c r="I4" s="5" t="s">
        <v>23</v>
      </c>
      <c r="J4" s="7" t="s">
        <v>221</v>
      </c>
      <c r="K4" t="s">
        <v>392</v>
      </c>
      <c r="L4" t="s">
        <v>397</v>
      </c>
    </row>
    <row r="5" spans="1:12" x14ac:dyDescent="0.2">
      <c r="A5" s="5" t="s">
        <v>24</v>
      </c>
      <c r="B5" t="s">
        <v>198</v>
      </c>
      <c r="C5" t="s">
        <v>198</v>
      </c>
      <c r="D5" t="s">
        <v>198</v>
      </c>
      <c r="E5" t="s">
        <v>1243</v>
      </c>
      <c r="F5" s="7" t="s">
        <v>211</v>
      </c>
      <c r="G5" t="s">
        <v>201</v>
      </c>
      <c r="H5" s="5" t="s">
        <v>23</v>
      </c>
      <c r="I5" s="5" t="s">
        <v>23</v>
      </c>
      <c r="J5" s="7" t="s">
        <v>221</v>
      </c>
      <c r="K5" t="s">
        <v>392</v>
      </c>
    </row>
    <row r="6" spans="1:12" x14ac:dyDescent="0.2">
      <c r="A6" s="5" t="s">
        <v>25</v>
      </c>
      <c r="B6" t="s">
        <v>198</v>
      </c>
      <c r="C6" t="s">
        <v>198</v>
      </c>
      <c r="D6" t="s">
        <v>198</v>
      </c>
      <c r="E6" t="s">
        <v>1243</v>
      </c>
      <c r="F6" s="5" t="s">
        <v>201</v>
      </c>
      <c r="G6" t="s">
        <v>201</v>
      </c>
      <c r="H6" s="5" t="s">
        <v>19</v>
      </c>
      <c r="I6" s="5" t="s">
        <v>26</v>
      </c>
      <c r="J6" s="7" t="s">
        <v>221</v>
      </c>
      <c r="K6" t="s">
        <v>392</v>
      </c>
    </row>
    <row r="7" spans="1:12" x14ac:dyDescent="0.2">
      <c r="A7" s="5" t="s">
        <v>27</v>
      </c>
      <c r="B7" t="s">
        <v>198</v>
      </c>
      <c r="C7" t="s">
        <v>198</v>
      </c>
      <c r="D7" t="s">
        <v>198</v>
      </c>
      <c r="E7" t="s">
        <v>1243</v>
      </c>
      <c r="F7" s="5" t="s">
        <v>201</v>
      </c>
      <c r="G7" t="s">
        <v>201</v>
      </c>
      <c r="H7" s="5" t="s">
        <v>19</v>
      </c>
      <c r="I7" s="5" t="s">
        <v>215</v>
      </c>
      <c r="J7" s="7" t="s">
        <v>221</v>
      </c>
      <c r="K7" t="s">
        <v>392</v>
      </c>
    </row>
    <row r="8" spans="1:12" x14ac:dyDescent="0.2">
      <c r="A8" s="5" t="s">
        <v>28</v>
      </c>
      <c r="B8" t="s">
        <v>198</v>
      </c>
      <c r="C8" t="s">
        <v>198</v>
      </c>
      <c r="D8" t="s">
        <v>198</v>
      </c>
      <c r="E8" t="s">
        <v>1243</v>
      </c>
      <c r="F8" t="s">
        <v>199</v>
      </c>
      <c r="G8" t="s">
        <v>201</v>
      </c>
      <c r="H8" s="5" t="s">
        <v>23</v>
      </c>
      <c r="I8" s="5" t="s">
        <v>29</v>
      </c>
      <c r="J8" s="7" t="s">
        <v>221</v>
      </c>
      <c r="K8" t="s">
        <v>392</v>
      </c>
    </row>
    <row r="9" spans="1:12" x14ac:dyDescent="0.2">
      <c r="A9" s="5" t="s">
        <v>30</v>
      </c>
      <c r="B9" t="s">
        <v>198</v>
      </c>
      <c r="C9" t="s">
        <v>198</v>
      </c>
      <c r="D9" t="s">
        <v>198</v>
      </c>
      <c r="E9" t="s">
        <v>1243</v>
      </c>
      <c r="F9" t="s">
        <v>212</v>
      </c>
      <c r="G9" t="s">
        <v>201</v>
      </c>
      <c r="H9" t="s">
        <v>23</v>
      </c>
      <c r="I9" s="5" t="s">
        <v>23</v>
      </c>
      <c r="J9" s="7" t="s">
        <v>221</v>
      </c>
      <c r="K9" t="s">
        <v>392</v>
      </c>
      <c r="L9" t="s">
        <v>396</v>
      </c>
    </row>
    <row r="10" spans="1:12" x14ac:dyDescent="0.2">
      <c r="A10" s="5" t="s">
        <v>31</v>
      </c>
      <c r="B10" t="s">
        <v>199</v>
      </c>
      <c r="C10" t="s">
        <v>199</v>
      </c>
      <c r="D10" t="s">
        <v>199</v>
      </c>
      <c r="E10" t="s">
        <v>1243</v>
      </c>
      <c r="F10" t="s">
        <v>200</v>
      </c>
      <c r="G10" t="s">
        <v>201</v>
      </c>
      <c r="H10" t="s">
        <v>23</v>
      </c>
      <c r="I10" s="5" t="s">
        <v>23</v>
      </c>
      <c r="J10" t="s">
        <v>388</v>
      </c>
      <c r="K10" t="s">
        <v>20</v>
      </c>
      <c r="L10" t="s">
        <v>395</v>
      </c>
    </row>
    <row r="11" spans="1:12" x14ac:dyDescent="0.2">
      <c r="A11" s="5" t="s">
        <v>206</v>
      </c>
      <c r="B11" t="s">
        <v>198</v>
      </c>
      <c r="C11" t="s">
        <v>198</v>
      </c>
      <c r="D11" t="s">
        <v>198</v>
      </c>
      <c r="E11" t="s">
        <v>1243</v>
      </c>
      <c r="F11" s="7" t="s">
        <v>211</v>
      </c>
      <c r="G11" t="s">
        <v>201</v>
      </c>
      <c r="H11" t="s">
        <v>23</v>
      </c>
      <c r="I11" s="5" t="s">
        <v>23</v>
      </c>
      <c r="J11" t="s">
        <v>389</v>
      </c>
      <c r="K11" t="s">
        <v>392</v>
      </c>
      <c r="L11" t="s">
        <v>394</v>
      </c>
    </row>
    <row r="12" spans="1:12" x14ac:dyDescent="0.2">
      <c r="A12" t="s">
        <v>207</v>
      </c>
      <c r="B12" t="s">
        <v>199</v>
      </c>
      <c r="C12" t="s">
        <v>199</v>
      </c>
      <c r="D12" t="s">
        <v>198</v>
      </c>
      <c r="E12" t="s">
        <v>1245</v>
      </c>
      <c r="F12" t="s">
        <v>199</v>
      </c>
      <c r="G12" t="s">
        <v>201</v>
      </c>
      <c r="H12" s="7" t="s">
        <v>29</v>
      </c>
      <c r="I12" s="7" t="s">
        <v>19</v>
      </c>
      <c r="J12" t="s">
        <v>390</v>
      </c>
      <c r="K12" t="s">
        <v>20</v>
      </c>
      <c r="L12" t="s">
        <v>393</v>
      </c>
    </row>
    <row r="13" spans="1:12" x14ac:dyDescent="0.2">
      <c r="A13" t="s">
        <v>208</v>
      </c>
      <c r="B13" t="s">
        <v>199</v>
      </c>
      <c r="C13" t="s">
        <v>199</v>
      </c>
      <c r="D13" t="s">
        <v>198</v>
      </c>
      <c r="E13" t="s">
        <v>1243</v>
      </c>
      <c r="F13" t="s">
        <v>201</v>
      </c>
      <c r="G13" t="s">
        <v>213</v>
      </c>
      <c r="H13" t="s">
        <v>23</v>
      </c>
      <c r="I13" s="5" t="s">
        <v>23</v>
      </c>
      <c r="J13" t="s">
        <v>390</v>
      </c>
      <c r="K13" t="s">
        <v>20</v>
      </c>
      <c r="L13" t="s">
        <v>393</v>
      </c>
    </row>
    <row r="14" spans="1:12" x14ac:dyDescent="0.2">
      <c r="A14" s="2" t="s">
        <v>223</v>
      </c>
      <c r="B14" t="s">
        <v>199</v>
      </c>
      <c r="C14" t="s">
        <v>198</v>
      </c>
      <c r="D14" t="s">
        <v>198</v>
      </c>
      <c r="E14" t="s">
        <v>1244</v>
      </c>
      <c r="F14" t="s">
        <v>199</v>
      </c>
      <c r="G14" t="s">
        <v>200</v>
      </c>
      <c r="H14" t="s">
        <v>26</v>
      </c>
      <c r="I14" s="6" t="s">
        <v>19</v>
      </c>
      <c r="J14" t="s">
        <v>224</v>
      </c>
      <c r="K14" t="s">
        <v>391</v>
      </c>
    </row>
    <row r="15" spans="1:12" x14ac:dyDescent="0.2">
      <c r="A15" t="s">
        <v>92</v>
      </c>
      <c r="B15" t="s">
        <v>198</v>
      </c>
      <c r="C15" t="s">
        <v>198</v>
      </c>
      <c r="D15" t="s">
        <v>198</v>
      </c>
      <c r="E15" t="s">
        <v>1245</v>
      </c>
      <c r="F15" t="s">
        <v>211</v>
      </c>
      <c r="G15" t="s">
        <v>201</v>
      </c>
      <c r="H15" t="s">
        <v>23</v>
      </c>
      <c r="I15" t="s">
        <v>23</v>
      </c>
      <c r="J15" t="s">
        <v>221</v>
      </c>
      <c r="K15" t="s">
        <v>391</v>
      </c>
    </row>
    <row r="16" spans="1:12" x14ac:dyDescent="0.2">
      <c r="A16" t="s">
        <v>1238</v>
      </c>
      <c r="B16" t="s">
        <v>199</v>
      </c>
      <c r="C16" t="s">
        <v>199</v>
      </c>
      <c r="D16" t="s">
        <v>198</v>
      </c>
      <c r="E16" t="s">
        <v>1244</v>
      </c>
      <c r="F16" t="s">
        <v>199</v>
      </c>
      <c r="G16" t="s">
        <v>201</v>
      </c>
      <c r="H16" t="s">
        <v>1239</v>
      </c>
      <c r="I16" s="5" t="s">
        <v>29</v>
      </c>
      <c r="J16" t="s">
        <v>1240</v>
      </c>
      <c r="K16" t="s">
        <v>391</v>
      </c>
      <c r="L16" t="s">
        <v>1241</v>
      </c>
    </row>
  </sheetData>
  <mergeCells count="1">
    <mergeCell ref="A1:K1"/>
  </mergeCells>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18"/>
  <sheetViews>
    <sheetView zoomScale="136" workbookViewId="0">
      <selection activeCell="E16" sqref="E16"/>
    </sheetView>
  </sheetViews>
  <sheetFormatPr baseColWidth="10" defaultColWidth="8.83203125" defaultRowHeight="15" x14ac:dyDescent="0.2"/>
  <cols>
    <col min="1" max="1" width="24" customWidth="1"/>
    <col min="2" max="2" width="16" customWidth="1"/>
    <col min="3" max="3" width="18" customWidth="1"/>
    <col min="4" max="4" width="14" customWidth="1"/>
    <col min="5" max="5" width="22.6640625" customWidth="1"/>
    <col min="6" max="6" width="16" customWidth="1"/>
    <col min="7" max="7" width="18" customWidth="1"/>
    <col min="8" max="9" width="14" customWidth="1"/>
    <col min="10" max="10" width="65.33203125" customWidth="1"/>
    <col min="11" max="11" width="70.83203125" customWidth="1"/>
  </cols>
  <sheetData>
    <row r="1" spans="1:11" x14ac:dyDescent="0.2">
      <c r="A1" s="109"/>
      <c r="B1" s="110"/>
      <c r="C1" s="110"/>
      <c r="D1" s="110"/>
      <c r="E1" s="110"/>
      <c r="F1" s="110"/>
      <c r="G1" s="110"/>
      <c r="H1" s="110"/>
      <c r="I1" s="110"/>
      <c r="J1" s="110"/>
      <c r="K1" s="110"/>
    </row>
    <row r="2" spans="1:11" ht="30" x14ac:dyDescent="0.2">
      <c r="A2" s="11" t="s">
        <v>8</v>
      </c>
      <c r="B2" s="11" t="s">
        <v>32</v>
      </c>
      <c r="C2" s="11" t="s">
        <v>10</v>
      </c>
      <c r="D2" s="11" t="s">
        <v>11</v>
      </c>
      <c r="E2" s="11" t="s">
        <v>1242</v>
      </c>
      <c r="F2" s="11" t="s">
        <v>12</v>
      </c>
      <c r="G2" s="11" t="s">
        <v>13</v>
      </c>
      <c r="H2" s="11" t="s">
        <v>33</v>
      </c>
      <c r="I2" s="11" t="s">
        <v>14</v>
      </c>
      <c r="J2" s="11" t="s">
        <v>15</v>
      </c>
      <c r="K2" s="11" t="s">
        <v>152</v>
      </c>
    </row>
    <row r="3" spans="1:11" ht="28" x14ac:dyDescent="0.2">
      <c r="A3" s="12" t="s">
        <v>34</v>
      </c>
      <c r="B3" s="12" t="s">
        <v>198</v>
      </c>
      <c r="C3" s="12" t="s">
        <v>198</v>
      </c>
      <c r="D3" s="12" t="s">
        <v>198</v>
      </c>
      <c r="E3" s="12" t="s">
        <v>1243</v>
      </c>
      <c r="F3" s="12" t="s">
        <v>426</v>
      </c>
      <c r="G3" s="12" t="s">
        <v>19</v>
      </c>
      <c r="H3" s="12" t="s">
        <v>35</v>
      </c>
      <c r="I3" s="12" t="s">
        <v>23</v>
      </c>
      <c r="J3" s="12" t="s">
        <v>441</v>
      </c>
      <c r="K3" s="12" t="s">
        <v>681</v>
      </c>
    </row>
    <row r="4" spans="1:11" ht="42" x14ac:dyDescent="0.2">
      <c r="A4" s="13" t="s">
        <v>36</v>
      </c>
      <c r="B4" s="9" t="s">
        <v>198</v>
      </c>
      <c r="C4" s="9" t="s">
        <v>198</v>
      </c>
      <c r="D4" s="9" t="s">
        <v>198</v>
      </c>
      <c r="E4" s="122" t="s">
        <v>1243</v>
      </c>
      <c r="F4" s="12" t="s">
        <v>226</v>
      </c>
      <c r="G4" s="12" t="s">
        <v>19</v>
      </c>
      <c r="H4" s="13" t="s">
        <v>37</v>
      </c>
      <c r="I4" s="12" t="s">
        <v>38</v>
      </c>
      <c r="J4" s="12" t="s">
        <v>441</v>
      </c>
      <c r="K4" s="13" t="s">
        <v>682</v>
      </c>
    </row>
    <row r="5" spans="1:11" ht="42" x14ac:dyDescent="0.2">
      <c r="A5" s="13" t="s">
        <v>270</v>
      </c>
      <c r="B5" s="9" t="s">
        <v>199</v>
      </c>
      <c r="C5" s="9" t="s">
        <v>198</v>
      </c>
      <c r="D5" s="9" t="s">
        <v>199</v>
      </c>
      <c r="E5" s="9" t="s">
        <v>1246</v>
      </c>
      <c r="F5" s="12" t="s">
        <v>228</v>
      </c>
      <c r="G5" s="12" t="s">
        <v>19</v>
      </c>
      <c r="H5" s="13" t="s">
        <v>37</v>
      </c>
      <c r="I5" s="121" t="s">
        <v>29</v>
      </c>
      <c r="J5" s="12" t="s">
        <v>676</v>
      </c>
      <c r="K5" s="13" t="s">
        <v>678</v>
      </c>
    </row>
    <row r="6" spans="1:11" ht="42" x14ac:dyDescent="0.2">
      <c r="A6" s="13" t="s">
        <v>464</v>
      </c>
      <c r="B6" s="9" t="s">
        <v>198</v>
      </c>
      <c r="C6" s="9" t="s">
        <v>199</v>
      </c>
      <c r="D6" s="9" t="s">
        <v>199</v>
      </c>
      <c r="E6" s="9" t="s">
        <v>1247</v>
      </c>
      <c r="F6" s="9" t="s">
        <v>465</v>
      </c>
      <c r="G6" s="12" t="s">
        <v>19</v>
      </c>
      <c r="H6" s="13" t="s">
        <v>675</v>
      </c>
      <c r="I6" s="121" t="s">
        <v>29</v>
      </c>
      <c r="J6" s="12" t="s">
        <v>677</v>
      </c>
      <c r="K6" s="13" t="s">
        <v>679</v>
      </c>
    </row>
    <row r="7" spans="1:11" x14ac:dyDescent="0.2">
      <c r="A7" s="13" t="s">
        <v>39</v>
      </c>
      <c r="B7" s="9" t="s">
        <v>198</v>
      </c>
      <c r="C7" s="9" t="s">
        <v>198</v>
      </c>
      <c r="D7" s="9" t="s">
        <v>198</v>
      </c>
      <c r="E7" s="122" t="s">
        <v>1243</v>
      </c>
      <c r="F7" s="12" t="s">
        <v>339</v>
      </c>
      <c r="G7" s="12" t="s">
        <v>18</v>
      </c>
      <c r="H7" s="13" t="s">
        <v>40</v>
      </c>
      <c r="I7" s="12" t="s">
        <v>19</v>
      </c>
      <c r="J7" s="12" t="s">
        <v>436</v>
      </c>
      <c r="K7" s="13" t="s">
        <v>683</v>
      </c>
    </row>
    <row r="8" spans="1:11" x14ac:dyDescent="0.2">
      <c r="A8" s="13" t="s">
        <v>41</v>
      </c>
      <c r="B8" s="9" t="s">
        <v>198</v>
      </c>
      <c r="C8" s="9" t="s">
        <v>199</v>
      </c>
      <c r="D8" s="9" t="s">
        <v>198</v>
      </c>
      <c r="E8" s="122" t="s">
        <v>1243</v>
      </c>
      <c r="F8" s="12" t="s">
        <v>227</v>
      </c>
      <c r="G8" s="12" t="s">
        <v>42</v>
      </c>
      <c r="H8" s="13" t="s">
        <v>40</v>
      </c>
      <c r="I8" s="12" t="s">
        <v>19</v>
      </c>
      <c r="J8" s="9" t="s">
        <v>434</v>
      </c>
      <c r="K8" s="13" t="s">
        <v>437</v>
      </c>
    </row>
    <row r="9" spans="1:11" x14ac:dyDescent="0.2">
      <c r="A9" s="13" t="s">
        <v>43</v>
      </c>
      <c r="B9" s="9" t="s">
        <v>198</v>
      </c>
      <c r="C9" s="9" t="s">
        <v>198</v>
      </c>
      <c r="D9" s="9" t="s">
        <v>198</v>
      </c>
      <c r="E9" s="122" t="s">
        <v>1243</v>
      </c>
      <c r="F9" s="12" t="s">
        <v>227</v>
      </c>
      <c r="G9" s="12" t="s">
        <v>42</v>
      </c>
      <c r="H9" s="13" t="s">
        <v>35</v>
      </c>
      <c r="I9" s="12" t="s">
        <v>23</v>
      </c>
      <c r="J9" s="9" t="s">
        <v>438</v>
      </c>
      <c r="K9" s="13" t="s">
        <v>684</v>
      </c>
    </row>
    <row r="10" spans="1:11" ht="28" x14ac:dyDescent="0.2">
      <c r="A10" s="13" t="s">
        <v>44</v>
      </c>
      <c r="B10" s="9" t="s">
        <v>199</v>
      </c>
      <c r="C10" s="9" t="s">
        <v>199</v>
      </c>
      <c r="D10" s="9" t="s">
        <v>198</v>
      </c>
      <c r="E10" s="9" t="s">
        <v>1245</v>
      </c>
      <c r="F10" s="12" t="s">
        <v>228</v>
      </c>
      <c r="G10" s="12" t="s">
        <v>42</v>
      </c>
      <c r="H10" s="13" t="s">
        <v>40</v>
      </c>
      <c r="I10" s="12" t="s">
        <v>29</v>
      </c>
      <c r="J10" s="13" t="s">
        <v>435</v>
      </c>
      <c r="K10" s="13" t="s">
        <v>685</v>
      </c>
    </row>
    <row r="11" spans="1:11" ht="28" x14ac:dyDescent="0.2">
      <c r="A11" s="13" t="s">
        <v>45</v>
      </c>
      <c r="B11" s="9" t="s">
        <v>198</v>
      </c>
      <c r="C11" s="9" t="s">
        <v>199</v>
      </c>
      <c r="D11" s="9" t="s">
        <v>198</v>
      </c>
      <c r="E11" s="122" t="s">
        <v>1243</v>
      </c>
      <c r="F11" s="12" t="s">
        <v>225</v>
      </c>
      <c r="G11" s="12" t="s">
        <v>22</v>
      </c>
      <c r="H11" s="13" t="s">
        <v>35</v>
      </c>
      <c r="I11" s="12" t="s">
        <v>23</v>
      </c>
      <c r="J11" s="12" t="s">
        <v>442</v>
      </c>
      <c r="K11" s="13" t="s">
        <v>686</v>
      </c>
    </row>
    <row r="12" spans="1:11" x14ac:dyDescent="0.2">
      <c r="A12" s="13" t="s">
        <v>46</v>
      </c>
      <c r="B12" s="9" t="s">
        <v>199</v>
      </c>
      <c r="C12" s="9" t="s">
        <v>199</v>
      </c>
      <c r="D12" s="9" t="s">
        <v>199</v>
      </c>
      <c r="E12" s="9" t="s">
        <v>1249</v>
      </c>
      <c r="F12" s="12" t="s">
        <v>229</v>
      </c>
      <c r="G12" s="12" t="s">
        <v>22</v>
      </c>
      <c r="H12" s="13" t="s">
        <v>35</v>
      </c>
      <c r="I12" s="12" t="s">
        <v>19</v>
      </c>
      <c r="J12" s="13" t="s">
        <v>439</v>
      </c>
      <c r="K12" s="13"/>
    </row>
    <row r="13" spans="1:11" x14ac:dyDescent="0.2">
      <c r="A13" s="13" t="s">
        <v>202</v>
      </c>
      <c r="B13" s="9" t="s">
        <v>198</v>
      </c>
      <c r="C13" s="9" t="s">
        <v>199</v>
      </c>
      <c r="D13" s="9" t="s">
        <v>199</v>
      </c>
      <c r="E13" s="9" t="s">
        <v>1247</v>
      </c>
      <c r="F13" s="12" t="s">
        <v>230</v>
      </c>
      <c r="G13" s="12" t="s">
        <v>22</v>
      </c>
      <c r="H13" s="13" t="s">
        <v>35</v>
      </c>
      <c r="I13" s="12" t="s">
        <v>19</v>
      </c>
      <c r="J13" s="13" t="s">
        <v>440</v>
      </c>
      <c r="K13" s="13" t="s">
        <v>687</v>
      </c>
    </row>
    <row r="14" spans="1:11" x14ac:dyDescent="0.2">
      <c r="A14" s="13" t="s">
        <v>203</v>
      </c>
      <c r="B14" s="9" t="s">
        <v>198</v>
      </c>
      <c r="C14" s="9" t="s">
        <v>199</v>
      </c>
      <c r="D14" s="9" t="s">
        <v>199</v>
      </c>
      <c r="E14" s="9" t="s">
        <v>1248</v>
      </c>
      <c r="F14" s="12" t="s">
        <v>232</v>
      </c>
      <c r="G14" s="12" t="s">
        <v>42</v>
      </c>
      <c r="H14" s="13" t="s">
        <v>35</v>
      </c>
      <c r="I14" s="12" t="s">
        <v>23</v>
      </c>
      <c r="J14" s="13" t="s">
        <v>439</v>
      </c>
      <c r="K14" s="13" t="s">
        <v>233</v>
      </c>
    </row>
    <row r="15" spans="1:11" x14ac:dyDescent="0.2">
      <c r="A15" s="13" t="s">
        <v>204</v>
      </c>
      <c r="B15" s="9" t="s">
        <v>198</v>
      </c>
      <c r="C15" s="9" t="s">
        <v>199</v>
      </c>
      <c r="D15" s="9" t="s">
        <v>199</v>
      </c>
      <c r="E15" s="9" t="s">
        <v>1247</v>
      </c>
      <c r="F15" s="12" t="s">
        <v>231</v>
      </c>
      <c r="G15" s="12" t="s">
        <v>18</v>
      </c>
      <c r="H15" s="13" t="s">
        <v>35</v>
      </c>
      <c r="I15" s="12" t="s">
        <v>19</v>
      </c>
      <c r="J15" s="13" t="s">
        <v>440</v>
      </c>
      <c r="K15" s="9" t="s">
        <v>680</v>
      </c>
    </row>
    <row r="16" spans="1:11" x14ac:dyDescent="0.2">
      <c r="A16" s="13" t="s">
        <v>205</v>
      </c>
      <c r="B16" s="9" t="s">
        <v>198</v>
      </c>
      <c r="C16" s="9" t="s">
        <v>199</v>
      </c>
      <c r="D16" s="9" t="s">
        <v>199</v>
      </c>
      <c r="E16" s="9" t="s">
        <v>1247</v>
      </c>
      <c r="F16" s="12" t="s">
        <v>234</v>
      </c>
      <c r="G16" s="12" t="s">
        <v>42</v>
      </c>
      <c r="H16" s="13" t="s">
        <v>35</v>
      </c>
      <c r="I16" s="12" t="s">
        <v>23</v>
      </c>
      <c r="J16" s="13" t="s">
        <v>440</v>
      </c>
      <c r="K16" s="13" t="s">
        <v>688</v>
      </c>
    </row>
    <row r="17" spans="1:1" x14ac:dyDescent="0.2">
      <c r="A17" s="6"/>
    </row>
    <row r="18" spans="1:1" x14ac:dyDescent="0.2">
      <c r="A18" s="2"/>
    </row>
  </sheetData>
  <mergeCells count="1">
    <mergeCell ref="A1:K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L15"/>
  <sheetViews>
    <sheetView tabSelected="1" zoomScale="90" workbookViewId="0">
      <selection activeCell="D2" sqref="D1:D1048576"/>
    </sheetView>
  </sheetViews>
  <sheetFormatPr baseColWidth="10" defaultColWidth="8.83203125" defaultRowHeight="15" x14ac:dyDescent="0.2"/>
  <cols>
    <col min="1" max="1" width="26" customWidth="1"/>
    <col min="2" max="2" width="36" customWidth="1"/>
    <col min="3" max="3" width="32" customWidth="1"/>
    <col min="4" max="4" width="29" customWidth="1"/>
    <col min="5" max="5" width="31.5" customWidth="1"/>
    <col min="6" max="6" width="36" customWidth="1"/>
    <col min="7" max="7" width="30" customWidth="1"/>
    <col min="8" max="8" width="22.5" customWidth="1"/>
    <col min="9" max="9" width="21.6640625" customWidth="1"/>
    <col min="10" max="10" width="27.83203125" customWidth="1"/>
    <col min="11" max="11" width="28.5" customWidth="1"/>
    <col min="12" max="12" width="82.1640625" customWidth="1"/>
  </cols>
  <sheetData>
    <row r="1" spans="1:12" x14ac:dyDescent="0.2">
      <c r="A1" s="109"/>
      <c r="B1" s="110"/>
      <c r="C1" s="110"/>
      <c r="D1" s="110"/>
      <c r="E1" s="110"/>
      <c r="F1" s="110"/>
      <c r="G1" s="110"/>
      <c r="H1" s="110"/>
      <c r="I1" s="110"/>
      <c r="J1" s="110"/>
      <c r="K1" s="110"/>
      <c r="L1" s="110"/>
    </row>
    <row r="2" spans="1:12" x14ac:dyDescent="0.2">
      <c r="A2" s="4" t="s">
        <v>103</v>
      </c>
      <c r="B2" s="4" t="s">
        <v>104</v>
      </c>
      <c r="C2" s="4" t="s">
        <v>105</v>
      </c>
      <c r="D2" s="4" t="s">
        <v>1293</v>
      </c>
      <c r="E2" s="4" t="s">
        <v>1294</v>
      </c>
      <c r="F2" s="4" t="s">
        <v>106</v>
      </c>
      <c r="G2" s="4" t="s">
        <v>107</v>
      </c>
      <c r="H2" s="4" t="s">
        <v>108</v>
      </c>
      <c r="I2" s="4" t="s">
        <v>109</v>
      </c>
      <c r="J2" s="4" t="s">
        <v>110</v>
      </c>
      <c r="K2" s="4" t="s">
        <v>15</v>
      </c>
      <c r="L2" s="4" t="s">
        <v>152</v>
      </c>
    </row>
    <row r="3" spans="1:12" ht="56" x14ac:dyDescent="0.2">
      <c r="A3" s="8" t="s">
        <v>111</v>
      </c>
      <c r="B3" s="7" t="s">
        <v>112</v>
      </c>
      <c r="C3" s="7" t="s">
        <v>113</v>
      </c>
      <c r="D3" s="7" t="s">
        <v>1295</v>
      </c>
      <c r="E3" s="7" t="s">
        <v>1297</v>
      </c>
      <c r="F3" s="7" t="s">
        <v>114</v>
      </c>
      <c r="G3" s="5" t="s">
        <v>115</v>
      </c>
      <c r="H3" s="5" t="s">
        <v>40</v>
      </c>
      <c r="I3" s="5" t="s">
        <v>40</v>
      </c>
      <c r="J3" s="5" t="s">
        <v>40</v>
      </c>
      <c r="K3" s="7" t="s">
        <v>360</v>
      </c>
      <c r="L3" s="7" t="s">
        <v>364</v>
      </c>
    </row>
    <row r="4" spans="1:12" ht="56" x14ac:dyDescent="0.2">
      <c r="A4" s="5" t="s">
        <v>116</v>
      </c>
      <c r="B4" s="5" t="s">
        <v>117</v>
      </c>
      <c r="C4" s="5" t="s">
        <v>118</v>
      </c>
      <c r="D4" s="5" t="s">
        <v>1296</v>
      </c>
      <c r="E4" s="5" t="s">
        <v>1298</v>
      </c>
      <c r="F4" s="5" t="s">
        <v>361</v>
      </c>
      <c r="G4" s="5" t="s">
        <v>362</v>
      </c>
      <c r="H4" s="5" t="s">
        <v>40</v>
      </c>
      <c r="I4" s="5" t="s">
        <v>40</v>
      </c>
      <c r="J4" s="5" t="s">
        <v>40</v>
      </c>
      <c r="K4" s="5" t="s">
        <v>365</v>
      </c>
      <c r="L4" s="5" t="s">
        <v>363</v>
      </c>
    </row>
    <row r="5" spans="1:12" ht="56" x14ac:dyDescent="0.2">
      <c r="A5" s="5" t="s">
        <v>119</v>
      </c>
      <c r="B5" s="5" t="s">
        <v>120</v>
      </c>
      <c r="C5" s="5" t="s">
        <v>366</v>
      </c>
      <c r="D5" s="5" t="s">
        <v>1299</v>
      </c>
      <c r="E5" s="5" t="s">
        <v>1300</v>
      </c>
      <c r="F5" s="5" t="s">
        <v>367</v>
      </c>
      <c r="G5" s="5" t="s">
        <v>368</v>
      </c>
      <c r="H5" s="5" t="s">
        <v>40</v>
      </c>
      <c r="I5" s="5" t="s">
        <v>40</v>
      </c>
      <c r="J5" s="5" t="s">
        <v>40</v>
      </c>
      <c r="K5" s="5" t="s">
        <v>369</v>
      </c>
      <c r="L5" s="5" t="s">
        <v>370</v>
      </c>
    </row>
    <row r="6" spans="1:12" ht="70" x14ac:dyDescent="0.2">
      <c r="A6" s="5" t="s">
        <v>121</v>
      </c>
      <c r="B6" s="5" t="s">
        <v>122</v>
      </c>
      <c r="C6" s="5" t="s">
        <v>371</v>
      </c>
      <c r="D6" s="5" t="s">
        <v>1301</v>
      </c>
      <c r="E6" s="5" t="s">
        <v>1302</v>
      </c>
      <c r="F6" s="5" t="s">
        <v>372</v>
      </c>
      <c r="G6" s="5" t="s">
        <v>373</v>
      </c>
      <c r="H6" s="5" t="s">
        <v>40</v>
      </c>
      <c r="I6" s="5" t="s">
        <v>40</v>
      </c>
      <c r="J6" s="5" t="s">
        <v>40</v>
      </c>
      <c r="K6" s="5" t="s">
        <v>374</v>
      </c>
      <c r="L6" s="5" t="s">
        <v>375</v>
      </c>
    </row>
    <row r="7" spans="1:12" ht="70" x14ac:dyDescent="0.2">
      <c r="A7" s="5" t="s">
        <v>123</v>
      </c>
      <c r="B7" s="5" t="s">
        <v>376</v>
      </c>
      <c r="C7" s="5" t="s">
        <v>377</v>
      </c>
      <c r="D7" s="5" t="s">
        <v>1303</v>
      </c>
      <c r="E7" s="5" t="s">
        <v>1304</v>
      </c>
      <c r="F7" s="5" t="s">
        <v>378</v>
      </c>
      <c r="G7" s="5" t="s">
        <v>379</v>
      </c>
      <c r="H7" s="5" t="s">
        <v>40</v>
      </c>
      <c r="I7" s="5" t="s">
        <v>40</v>
      </c>
      <c r="J7" s="5" t="s">
        <v>124</v>
      </c>
      <c r="K7" s="5" t="s">
        <v>380</v>
      </c>
      <c r="L7" s="5" t="s">
        <v>381</v>
      </c>
    </row>
    <row r="8" spans="1:12" ht="70" x14ac:dyDescent="0.2">
      <c r="A8" s="5" t="s">
        <v>125</v>
      </c>
      <c r="B8" s="5" t="s">
        <v>126</v>
      </c>
      <c r="C8" s="5" t="s">
        <v>382</v>
      </c>
      <c r="D8" s="5" t="s">
        <v>1305</v>
      </c>
      <c r="E8" s="5" t="s">
        <v>1306</v>
      </c>
      <c r="F8" s="5" t="s">
        <v>383</v>
      </c>
      <c r="G8" s="5" t="s">
        <v>384</v>
      </c>
      <c r="H8" s="5" t="s">
        <v>124</v>
      </c>
      <c r="I8" s="5" t="s">
        <v>124</v>
      </c>
      <c r="J8" s="5" t="s">
        <v>124</v>
      </c>
      <c r="K8" s="5" t="s">
        <v>385</v>
      </c>
      <c r="L8" s="5" t="s">
        <v>386</v>
      </c>
    </row>
    <row r="9" spans="1:12" ht="126" x14ac:dyDescent="0.2">
      <c r="A9" s="5" t="s">
        <v>127</v>
      </c>
      <c r="B9" s="5" t="s">
        <v>128</v>
      </c>
      <c r="C9" s="5" t="s">
        <v>129</v>
      </c>
      <c r="D9" s="5" t="s">
        <v>1307</v>
      </c>
      <c r="E9" s="5" t="s">
        <v>1308</v>
      </c>
      <c r="F9" s="5" t="s">
        <v>130</v>
      </c>
      <c r="G9" s="5" t="s">
        <v>131</v>
      </c>
      <c r="H9" s="5" t="s">
        <v>40</v>
      </c>
      <c r="I9" s="5" t="s">
        <v>1279</v>
      </c>
      <c r="J9" s="5" t="s">
        <v>1280</v>
      </c>
      <c r="K9" s="5" t="s">
        <v>1291</v>
      </c>
      <c r="L9" s="5" t="s">
        <v>1292</v>
      </c>
    </row>
    <row r="10" spans="1:12" ht="126" x14ac:dyDescent="0.2">
      <c r="A10" s="5" t="s">
        <v>132</v>
      </c>
      <c r="B10" s="5" t="s">
        <v>133</v>
      </c>
      <c r="C10" s="5" t="s">
        <v>134</v>
      </c>
      <c r="D10" s="5" t="s">
        <v>1309</v>
      </c>
      <c r="E10" s="5" t="s">
        <v>1310</v>
      </c>
      <c r="F10" s="5" t="s">
        <v>135</v>
      </c>
      <c r="G10" s="5" t="s">
        <v>136</v>
      </c>
      <c r="H10" s="5" t="s">
        <v>40</v>
      </c>
      <c r="I10" s="5" t="s">
        <v>1277</v>
      </c>
      <c r="J10" s="5" t="s">
        <v>1278</v>
      </c>
      <c r="K10" s="5" t="s">
        <v>1289</v>
      </c>
      <c r="L10" s="5" t="s">
        <v>1290</v>
      </c>
    </row>
    <row r="11" spans="1:12" ht="196" x14ac:dyDescent="0.2">
      <c r="A11" s="5" t="s">
        <v>137</v>
      </c>
      <c r="B11" s="5" t="s">
        <v>138</v>
      </c>
      <c r="C11" s="5" t="s">
        <v>139</v>
      </c>
      <c r="D11" s="5" t="s">
        <v>1311</v>
      </c>
      <c r="E11" s="5" t="s">
        <v>1312</v>
      </c>
      <c r="F11" s="5" t="s">
        <v>140</v>
      </c>
      <c r="G11" s="5" t="s">
        <v>141</v>
      </c>
      <c r="H11" s="5" t="s">
        <v>124</v>
      </c>
      <c r="I11" s="5" t="s">
        <v>1281</v>
      </c>
      <c r="J11" s="5" t="s">
        <v>1282</v>
      </c>
      <c r="K11" s="5" t="s">
        <v>1287</v>
      </c>
      <c r="L11" s="5" t="s">
        <v>1288</v>
      </c>
    </row>
    <row r="12" spans="1:12" ht="224" x14ac:dyDescent="0.2">
      <c r="A12" s="5" t="s">
        <v>142</v>
      </c>
      <c r="B12" s="5" t="s">
        <v>143</v>
      </c>
      <c r="C12" s="5" t="s">
        <v>144</v>
      </c>
      <c r="D12" s="5" t="s">
        <v>1312</v>
      </c>
      <c r="E12" s="5" t="s">
        <v>1313</v>
      </c>
      <c r="F12" s="5" t="s">
        <v>145</v>
      </c>
      <c r="G12" s="5" t="s">
        <v>146</v>
      </c>
      <c r="H12" s="5" t="s">
        <v>40</v>
      </c>
      <c r="I12" s="5" t="s">
        <v>1283</v>
      </c>
      <c r="J12" s="5" t="s">
        <v>1284</v>
      </c>
      <c r="K12" s="5" t="s">
        <v>1285</v>
      </c>
      <c r="L12" s="5" t="s">
        <v>1286</v>
      </c>
    </row>
    <row r="13" spans="1:12" ht="42" x14ac:dyDescent="0.2">
      <c r="A13" s="123" t="s">
        <v>1250</v>
      </c>
      <c r="B13" s="123" t="s">
        <v>1251</v>
      </c>
      <c r="C13" s="123" t="s">
        <v>1252</v>
      </c>
      <c r="D13" s="123" t="s">
        <v>1316</v>
      </c>
      <c r="E13" s="123" t="s">
        <v>1317</v>
      </c>
      <c r="F13" s="123" t="s">
        <v>1253</v>
      </c>
      <c r="G13" s="123" t="s">
        <v>1254</v>
      </c>
      <c r="H13" s="123" t="s">
        <v>1255</v>
      </c>
      <c r="I13" s="124" t="s">
        <v>1256</v>
      </c>
      <c r="J13" s="124" t="s">
        <v>1257</v>
      </c>
      <c r="L13" s="124" t="s">
        <v>1258</v>
      </c>
    </row>
    <row r="14" spans="1:12" ht="42" x14ac:dyDescent="0.2">
      <c r="A14" s="123" t="s">
        <v>1259</v>
      </c>
      <c r="B14" s="123" t="s">
        <v>1260</v>
      </c>
      <c r="C14" s="123" t="s">
        <v>1261</v>
      </c>
      <c r="D14" s="123" t="s">
        <v>1318</v>
      </c>
      <c r="E14" s="123" t="s">
        <v>1319</v>
      </c>
      <c r="F14" s="123" t="s">
        <v>1262</v>
      </c>
      <c r="G14" s="123" t="s">
        <v>1263</v>
      </c>
      <c r="H14" s="123" t="s">
        <v>1264</v>
      </c>
      <c r="I14" s="124" t="s">
        <v>1265</v>
      </c>
      <c r="J14" s="124" t="s">
        <v>1266</v>
      </c>
      <c r="L14" s="124" t="s">
        <v>1267</v>
      </c>
    </row>
    <row r="15" spans="1:12" ht="56" x14ac:dyDescent="0.2">
      <c r="A15" s="123" t="s">
        <v>1268</v>
      </c>
      <c r="B15" s="123" t="s">
        <v>1269</v>
      </c>
      <c r="C15" s="123" t="s">
        <v>1270</v>
      </c>
      <c r="D15" s="125" t="s">
        <v>1314</v>
      </c>
      <c r="E15" s="126" t="s">
        <v>1315</v>
      </c>
      <c r="F15" s="123" t="s">
        <v>1271</v>
      </c>
      <c r="G15" s="123" t="s">
        <v>1272</v>
      </c>
      <c r="H15" s="123" t="s">
        <v>1273</v>
      </c>
      <c r="I15" s="124" t="s">
        <v>1274</v>
      </c>
      <c r="J15" s="124" t="s">
        <v>1275</v>
      </c>
      <c r="L15" s="124" t="s">
        <v>1276</v>
      </c>
    </row>
  </sheetData>
  <mergeCells count="1">
    <mergeCell ref="A1:L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2CEA4-4F8F-EB49-B581-F80DC9EC0957}">
  <sheetPr codeName="Sheet6"/>
  <dimension ref="A1:O67"/>
  <sheetViews>
    <sheetView zoomScale="50" workbookViewId="0">
      <pane ySplit="1" topLeftCell="A29" activePane="bottomLeft" state="frozen"/>
      <selection pane="bottomLeft" activeCell="K38" sqref="K38"/>
    </sheetView>
  </sheetViews>
  <sheetFormatPr baseColWidth="10" defaultColWidth="8.83203125" defaultRowHeight="15" x14ac:dyDescent="0.2"/>
  <cols>
    <col min="1" max="2" width="30" customWidth="1"/>
    <col min="3" max="3" width="49" customWidth="1"/>
    <col min="4" max="4" width="10" customWidth="1"/>
    <col min="5" max="5" width="12" customWidth="1"/>
    <col min="6" max="6" width="28" customWidth="1"/>
    <col min="7" max="7" width="8" customWidth="1"/>
    <col min="8" max="8" width="32.83203125" customWidth="1"/>
    <col min="9" max="9" width="12" customWidth="1"/>
    <col min="10" max="10" width="16" customWidth="1"/>
    <col min="11" max="11" width="20" customWidth="1"/>
    <col min="12" max="13" width="10" customWidth="1"/>
    <col min="14" max="14" width="12" customWidth="1"/>
    <col min="15" max="15" width="50" customWidth="1"/>
  </cols>
  <sheetData>
    <row r="1" spans="1:15" ht="35" customHeight="1" x14ac:dyDescent="0.2">
      <c r="A1" s="17" t="s">
        <v>466</v>
      </c>
      <c r="B1" s="17" t="s">
        <v>709</v>
      </c>
      <c r="C1" s="17" t="s">
        <v>467</v>
      </c>
      <c r="D1" s="17" t="s">
        <v>468</v>
      </c>
      <c r="E1" s="17" t="s">
        <v>469</v>
      </c>
      <c r="F1" s="17" t="s">
        <v>470</v>
      </c>
      <c r="G1" s="17" t="s">
        <v>471</v>
      </c>
      <c r="H1" s="17" t="s">
        <v>472</v>
      </c>
      <c r="I1" s="17" t="s">
        <v>473</v>
      </c>
      <c r="J1" s="17" t="s">
        <v>474</v>
      </c>
      <c r="K1" s="17" t="s">
        <v>475</v>
      </c>
      <c r="L1" s="17" t="s">
        <v>476</v>
      </c>
      <c r="M1" s="17" t="s">
        <v>477</v>
      </c>
      <c r="N1" s="17" t="s">
        <v>478</v>
      </c>
      <c r="O1" s="17" t="s">
        <v>68</v>
      </c>
    </row>
    <row r="2" spans="1:15" ht="45" customHeight="1" x14ac:dyDescent="0.2">
      <c r="A2" s="14" t="s">
        <v>479</v>
      </c>
      <c r="B2" s="14" t="s">
        <v>710</v>
      </c>
      <c r="C2" s="15" t="s">
        <v>480</v>
      </c>
      <c r="D2" s="15" t="s">
        <v>481</v>
      </c>
      <c r="E2" s="15" t="s">
        <v>482</v>
      </c>
      <c r="F2" s="15" t="s">
        <v>24</v>
      </c>
      <c r="G2" s="15" t="s">
        <v>481</v>
      </c>
      <c r="H2" s="15" t="s">
        <v>483</v>
      </c>
      <c r="I2" s="15" t="s">
        <v>350</v>
      </c>
      <c r="J2" s="15" t="s">
        <v>351</v>
      </c>
      <c r="K2" s="15" t="s">
        <v>484</v>
      </c>
      <c r="L2" s="15" t="s">
        <v>77</v>
      </c>
      <c r="M2" s="15" t="s">
        <v>78</v>
      </c>
      <c r="N2" s="15" t="s">
        <v>485</v>
      </c>
      <c r="O2" s="16"/>
    </row>
    <row r="3" spans="1:15" ht="45" customHeight="1" x14ac:dyDescent="0.2">
      <c r="A3" s="14" t="s">
        <v>716</v>
      </c>
      <c r="B3" s="14" t="s">
        <v>710</v>
      </c>
      <c r="C3" s="15" t="s">
        <v>480</v>
      </c>
      <c r="D3" s="15" t="s">
        <v>481</v>
      </c>
      <c r="E3" s="15" t="s">
        <v>482</v>
      </c>
      <c r="F3" s="15" t="s">
        <v>24</v>
      </c>
      <c r="G3" s="15" t="s">
        <v>481</v>
      </c>
      <c r="H3" s="15" t="s">
        <v>483</v>
      </c>
      <c r="I3" s="15" t="s">
        <v>350</v>
      </c>
      <c r="J3" s="15" t="s">
        <v>351</v>
      </c>
      <c r="K3" s="15" t="s">
        <v>484</v>
      </c>
      <c r="L3" s="15" t="s">
        <v>77</v>
      </c>
      <c r="M3" s="15" t="s">
        <v>78</v>
      </c>
      <c r="N3" s="15" t="s">
        <v>485</v>
      </c>
      <c r="O3" s="16"/>
    </row>
    <row r="4" spans="1:15" ht="45" customHeight="1" x14ac:dyDescent="0.2">
      <c r="A4" s="14" t="s">
        <v>486</v>
      </c>
      <c r="B4" s="14" t="s">
        <v>710</v>
      </c>
      <c r="C4" s="15" t="s">
        <v>480</v>
      </c>
      <c r="D4" s="15" t="s">
        <v>481</v>
      </c>
      <c r="E4" s="15" t="s">
        <v>482</v>
      </c>
      <c r="F4" s="15" t="s">
        <v>25</v>
      </c>
      <c r="G4" s="15" t="s">
        <v>481</v>
      </c>
      <c r="H4" s="15" t="s">
        <v>483</v>
      </c>
      <c r="I4" s="15" t="s">
        <v>350</v>
      </c>
      <c r="J4" s="15" t="s">
        <v>351</v>
      </c>
      <c r="K4" s="15" t="s">
        <v>487</v>
      </c>
      <c r="L4" s="15" t="s">
        <v>72</v>
      </c>
      <c r="M4" s="15" t="s">
        <v>73</v>
      </c>
      <c r="N4" s="15" t="s">
        <v>70</v>
      </c>
      <c r="O4" s="16" t="s">
        <v>488</v>
      </c>
    </row>
    <row r="5" spans="1:15" ht="45" customHeight="1" x14ac:dyDescent="0.2">
      <c r="A5" s="14" t="s">
        <v>489</v>
      </c>
      <c r="B5" s="14" t="s">
        <v>710</v>
      </c>
      <c r="C5" s="15" t="s">
        <v>480</v>
      </c>
      <c r="D5" s="15" t="s">
        <v>481</v>
      </c>
      <c r="E5" s="15" t="s">
        <v>482</v>
      </c>
      <c r="F5" s="15" t="s">
        <v>24</v>
      </c>
      <c r="G5" s="15" t="s">
        <v>481</v>
      </c>
      <c r="H5" s="15" t="s">
        <v>483</v>
      </c>
      <c r="I5" s="15" t="s">
        <v>350</v>
      </c>
      <c r="J5" s="15" t="s">
        <v>351</v>
      </c>
      <c r="K5" s="15" t="s">
        <v>484</v>
      </c>
      <c r="L5" s="15" t="s">
        <v>77</v>
      </c>
      <c r="M5" s="15" t="s">
        <v>78</v>
      </c>
      <c r="N5" s="15" t="s">
        <v>485</v>
      </c>
      <c r="O5" s="16"/>
    </row>
    <row r="6" spans="1:15" ht="45" customHeight="1" x14ac:dyDescent="0.2">
      <c r="A6" s="14" t="s">
        <v>490</v>
      </c>
      <c r="B6" s="52" t="s">
        <v>711</v>
      </c>
      <c r="C6" s="15" t="s">
        <v>480</v>
      </c>
      <c r="D6" s="15" t="s">
        <v>481</v>
      </c>
      <c r="E6" s="15" t="s">
        <v>482</v>
      </c>
      <c r="F6" s="15" t="s">
        <v>92</v>
      </c>
      <c r="G6" s="15" t="s">
        <v>481</v>
      </c>
      <c r="H6" s="15" t="s">
        <v>483</v>
      </c>
      <c r="I6" s="15" t="s">
        <v>350</v>
      </c>
      <c r="J6" s="15" t="s">
        <v>351</v>
      </c>
      <c r="K6" s="15" t="s">
        <v>484</v>
      </c>
      <c r="L6" s="15" t="s">
        <v>77</v>
      </c>
      <c r="M6" s="15" t="s">
        <v>78</v>
      </c>
      <c r="N6" s="15" t="s">
        <v>485</v>
      </c>
      <c r="O6" s="16"/>
    </row>
    <row r="7" spans="1:15" ht="45" customHeight="1" x14ac:dyDescent="0.2">
      <c r="A7" s="14" t="s">
        <v>491</v>
      </c>
      <c r="B7" s="14" t="s">
        <v>710</v>
      </c>
      <c r="C7" s="15" t="s">
        <v>480</v>
      </c>
      <c r="D7" s="15" t="s">
        <v>481</v>
      </c>
      <c r="E7" s="15" t="s">
        <v>482</v>
      </c>
      <c r="F7" s="15" t="s">
        <v>492</v>
      </c>
      <c r="G7" s="15" t="s">
        <v>481</v>
      </c>
      <c r="H7" s="15" t="s">
        <v>483</v>
      </c>
      <c r="I7" s="15" t="s">
        <v>350</v>
      </c>
      <c r="J7" s="15" t="s">
        <v>351</v>
      </c>
      <c r="K7" s="15" t="s">
        <v>484</v>
      </c>
      <c r="L7" s="15" t="s">
        <v>72</v>
      </c>
      <c r="M7" s="15" t="s">
        <v>78</v>
      </c>
      <c r="N7" s="15" t="s">
        <v>485</v>
      </c>
      <c r="O7" s="39" t="s">
        <v>689</v>
      </c>
    </row>
    <row r="8" spans="1:15" ht="45" customHeight="1" x14ac:dyDescent="0.2">
      <c r="A8" s="14" t="s">
        <v>493</v>
      </c>
      <c r="B8" s="14" t="s">
        <v>711</v>
      </c>
      <c r="C8" s="15" t="s">
        <v>480</v>
      </c>
      <c r="D8" s="15" t="s">
        <v>481</v>
      </c>
      <c r="E8" s="15" t="s">
        <v>482</v>
      </c>
      <c r="F8" s="15" t="s">
        <v>693</v>
      </c>
      <c r="G8" s="15" t="s">
        <v>481</v>
      </c>
      <c r="H8" s="15" t="s">
        <v>483</v>
      </c>
      <c r="I8" s="15" t="s">
        <v>350</v>
      </c>
      <c r="J8" s="15" t="s">
        <v>351</v>
      </c>
      <c r="K8" s="15" t="s">
        <v>484</v>
      </c>
      <c r="L8" s="15" t="s">
        <v>77</v>
      </c>
      <c r="M8" s="15" t="s">
        <v>78</v>
      </c>
      <c r="N8" s="15" t="s">
        <v>485</v>
      </c>
      <c r="O8" s="16" t="s">
        <v>692</v>
      </c>
    </row>
    <row r="9" spans="1:15" ht="45" customHeight="1" x14ac:dyDescent="0.2">
      <c r="A9" s="14" t="s">
        <v>494</v>
      </c>
      <c r="B9" s="14" t="s">
        <v>711</v>
      </c>
      <c r="C9" s="15" t="s">
        <v>480</v>
      </c>
      <c r="D9" s="15" t="s">
        <v>481</v>
      </c>
      <c r="E9" s="15" t="s">
        <v>482</v>
      </c>
      <c r="F9" s="15" t="s">
        <v>691</v>
      </c>
      <c r="G9" s="15" t="s">
        <v>481</v>
      </c>
      <c r="H9" s="15" t="s">
        <v>483</v>
      </c>
      <c r="I9" s="15" t="s">
        <v>350</v>
      </c>
      <c r="J9" s="15" t="s">
        <v>351</v>
      </c>
      <c r="K9" s="15" t="s">
        <v>484</v>
      </c>
      <c r="L9" s="15" t="s">
        <v>77</v>
      </c>
      <c r="M9" s="15" t="s">
        <v>78</v>
      </c>
      <c r="N9" s="15" t="s">
        <v>485</v>
      </c>
      <c r="O9" s="16" t="s">
        <v>692</v>
      </c>
    </row>
    <row r="10" spans="1:15" ht="45" customHeight="1" x14ac:dyDescent="0.2">
      <c r="A10" s="14" t="s">
        <v>722</v>
      </c>
      <c r="B10" s="14" t="s">
        <v>721</v>
      </c>
      <c r="C10" s="15" t="s">
        <v>480</v>
      </c>
      <c r="D10" s="15" t="s">
        <v>481</v>
      </c>
      <c r="E10" s="15" t="s">
        <v>482</v>
      </c>
      <c r="F10" s="15" t="s">
        <v>24</v>
      </c>
      <c r="G10" s="15" t="s">
        <v>481</v>
      </c>
      <c r="H10" s="15" t="s">
        <v>483</v>
      </c>
      <c r="I10" s="15" t="s">
        <v>350</v>
      </c>
      <c r="J10" s="15" t="s">
        <v>495</v>
      </c>
      <c r="K10" s="15" t="s">
        <v>496</v>
      </c>
      <c r="L10" s="15" t="s">
        <v>72</v>
      </c>
      <c r="M10" s="15" t="s">
        <v>73</v>
      </c>
      <c r="N10" s="15" t="s">
        <v>70</v>
      </c>
      <c r="O10" s="16" t="s">
        <v>497</v>
      </c>
    </row>
    <row r="11" spans="1:15" ht="45" customHeight="1" x14ac:dyDescent="0.2">
      <c r="A11" s="14" t="s">
        <v>720</v>
      </c>
      <c r="B11" s="14" t="s">
        <v>721</v>
      </c>
      <c r="C11" s="15" t="s">
        <v>480</v>
      </c>
      <c r="D11" s="15" t="s">
        <v>481</v>
      </c>
      <c r="E11" s="15" t="s">
        <v>482</v>
      </c>
      <c r="F11" s="15" t="s">
        <v>24</v>
      </c>
      <c r="G11" s="15" t="s">
        <v>481</v>
      </c>
      <c r="H11" s="15" t="s">
        <v>483</v>
      </c>
      <c r="I11" s="15" t="s">
        <v>350</v>
      </c>
      <c r="J11" s="15" t="s">
        <v>495</v>
      </c>
      <c r="K11" s="15" t="s">
        <v>496</v>
      </c>
      <c r="L11" s="15" t="s">
        <v>72</v>
      </c>
      <c r="M11" s="15" t="s">
        <v>73</v>
      </c>
      <c r="N11" s="15" t="s">
        <v>70</v>
      </c>
      <c r="O11" s="16" t="s">
        <v>497</v>
      </c>
    </row>
    <row r="12" spans="1:15" ht="45" customHeight="1" x14ac:dyDescent="0.2">
      <c r="A12" s="14" t="s">
        <v>498</v>
      </c>
      <c r="B12" s="52" t="s">
        <v>711</v>
      </c>
      <c r="C12" s="15" t="s">
        <v>480</v>
      </c>
      <c r="D12" s="15" t="s">
        <v>481</v>
      </c>
      <c r="E12" s="15" t="s">
        <v>482</v>
      </c>
      <c r="F12" s="15" t="s">
        <v>354</v>
      </c>
      <c r="G12" s="15" t="s">
        <v>481</v>
      </c>
      <c r="H12" s="15" t="s">
        <v>483</v>
      </c>
      <c r="I12" s="15" t="s">
        <v>350</v>
      </c>
      <c r="J12" s="15" t="s">
        <v>351</v>
      </c>
      <c r="K12" s="15" t="s">
        <v>484</v>
      </c>
      <c r="L12" s="15" t="s">
        <v>77</v>
      </c>
      <c r="M12" s="15" t="s">
        <v>78</v>
      </c>
      <c r="N12" s="15" t="s">
        <v>485</v>
      </c>
      <c r="O12" s="16"/>
    </row>
    <row r="13" spans="1:15" ht="45" customHeight="1" x14ac:dyDescent="0.2">
      <c r="A13" s="14" t="s">
        <v>712</v>
      </c>
      <c r="B13" s="52" t="s">
        <v>711</v>
      </c>
      <c r="C13" s="15" t="s">
        <v>480</v>
      </c>
      <c r="D13" s="15" t="s">
        <v>481</v>
      </c>
      <c r="E13" s="15" t="s">
        <v>482</v>
      </c>
      <c r="F13" s="15" t="s">
        <v>24</v>
      </c>
      <c r="G13" s="15" t="s">
        <v>481</v>
      </c>
      <c r="H13" s="15" t="s">
        <v>483</v>
      </c>
      <c r="I13" s="15" t="s">
        <v>350</v>
      </c>
      <c r="J13" s="15" t="s">
        <v>351</v>
      </c>
      <c r="K13" s="15" t="s">
        <v>484</v>
      </c>
      <c r="L13" s="15" t="s">
        <v>77</v>
      </c>
      <c r="M13" s="15" t="s">
        <v>78</v>
      </c>
      <c r="N13" s="15" t="s">
        <v>485</v>
      </c>
      <c r="O13" s="16" t="s">
        <v>725</v>
      </c>
    </row>
    <row r="14" spans="1:15" ht="45" customHeight="1" x14ac:dyDescent="0.2">
      <c r="A14" s="14" t="s">
        <v>499</v>
      </c>
      <c r="B14" s="52" t="s">
        <v>711</v>
      </c>
      <c r="C14" s="15" t="s">
        <v>480</v>
      </c>
      <c r="D14" s="15" t="s">
        <v>481</v>
      </c>
      <c r="E14" s="15" t="s">
        <v>482</v>
      </c>
      <c r="F14" s="15" t="s">
        <v>206</v>
      </c>
      <c r="G14" s="15" t="s">
        <v>481</v>
      </c>
      <c r="H14" s="15" t="s">
        <v>483</v>
      </c>
      <c r="I14" s="15" t="s">
        <v>350</v>
      </c>
      <c r="J14" s="15" t="s">
        <v>351</v>
      </c>
      <c r="K14" s="15" t="s">
        <v>484</v>
      </c>
      <c r="L14" s="15" t="s">
        <v>77</v>
      </c>
      <c r="M14" s="15" t="s">
        <v>78</v>
      </c>
      <c r="N14" s="15" t="s">
        <v>485</v>
      </c>
      <c r="O14" s="16"/>
    </row>
    <row r="15" spans="1:15" ht="45" customHeight="1" x14ac:dyDescent="0.2">
      <c r="A15" s="14" t="s">
        <v>500</v>
      </c>
      <c r="B15" s="14" t="s">
        <v>710</v>
      </c>
      <c r="C15" s="15" t="s">
        <v>480</v>
      </c>
      <c r="D15" s="15" t="s">
        <v>481</v>
      </c>
      <c r="E15" s="15" t="s">
        <v>482</v>
      </c>
      <c r="F15" s="15" t="s">
        <v>354</v>
      </c>
      <c r="G15" s="15" t="s">
        <v>481</v>
      </c>
      <c r="H15" s="15" t="s">
        <v>483</v>
      </c>
      <c r="I15" s="15" t="s">
        <v>350</v>
      </c>
      <c r="J15" s="15" t="s">
        <v>351</v>
      </c>
      <c r="K15" s="15" t="s">
        <v>484</v>
      </c>
      <c r="L15" s="15" t="s">
        <v>72</v>
      </c>
      <c r="M15" s="15" t="s">
        <v>73</v>
      </c>
      <c r="N15" s="15" t="s">
        <v>485</v>
      </c>
      <c r="O15" s="16"/>
    </row>
    <row r="16" spans="1:15" ht="45" customHeight="1" x14ac:dyDescent="0.2">
      <c r="A16" s="14" t="s">
        <v>501</v>
      </c>
      <c r="B16" s="52" t="s">
        <v>711</v>
      </c>
      <c r="C16" s="15" t="s">
        <v>480</v>
      </c>
      <c r="D16" s="15" t="s">
        <v>481</v>
      </c>
      <c r="E16" s="15" t="s">
        <v>482</v>
      </c>
      <c r="F16" s="15" t="s">
        <v>92</v>
      </c>
      <c r="G16" s="15" t="s">
        <v>481</v>
      </c>
      <c r="H16" s="15" t="s">
        <v>483</v>
      </c>
      <c r="I16" s="15" t="s">
        <v>350</v>
      </c>
      <c r="J16" s="15" t="s">
        <v>351</v>
      </c>
      <c r="K16" s="15" t="s">
        <v>484</v>
      </c>
      <c r="L16" s="15" t="s">
        <v>77</v>
      </c>
      <c r="M16" s="15" t="s">
        <v>78</v>
      </c>
      <c r="N16" s="15" t="s">
        <v>485</v>
      </c>
      <c r="O16" s="16"/>
    </row>
    <row r="17" spans="1:15" ht="45" customHeight="1" x14ac:dyDescent="0.2">
      <c r="A17" s="14" t="s">
        <v>502</v>
      </c>
      <c r="B17" s="14" t="s">
        <v>723</v>
      </c>
      <c r="C17" s="15" t="s">
        <v>480</v>
      </c>
      <c r="D17" s="15" t="s">
        <v>481</v>
      </c>
      <c r="E17" s="15" t="s">
        <v>482</v>
      </c>
      <c r="F17" s="15" t="s">
        <v>691</v>
      </c>
      <c r="G17" s="15" t="s">
        <v>481</v>
      </c>
      <c r="H17" s="15" t="s">
        <v>483</v>
      </c>
      <c r="I17" s="15" t="s">
        <v>350</v>
      </c>
      <c r="J17" s="15" t="s">
        <v>351</v>
      </c>
      <c r="K17" s="15" t="s">
        <v>484</v>
      </c>
      <c r="L17" s="15" t="s">
        <v>77</v>
      </c>
      <c r="M17" s="15" t="s">
        <v>78</v>
      </c>
      <c r="N17" s="15" t="s">
        <v>485</v>
      </c>
      <c r="O17" s="16" t="s">
        <v>692</v>
      </c>
    </row>
    <row r="18" spans="1:15" ht="45" customHeight="1" x14ac:dyDescent="0.2">
      <c r="A18" s="14" t="s">
        <v>503</v>
      </c>
      <c r="B18" s="52" t="s">
        <v>711</v>
      </c>
      <c r="C18" s="15" t="s">
        <v>480</v>
      </c>
      <c r="D18" s="15" t="s">
        <v>481</v>
      </c>
      <c r="E18" s="15" t="s">
        <v>482</v>
      </c>
      <c r="F18" s="15" t="s">
        <v>92</v>
      </c>
      <c r="G18" s="15" t="s">
        <v>481</v>
      </c>
      <c r="H18" s="15" t="s">
        <v>483</v>
      </c>
      <c r="I18" s="15" t="s">
        <v>350</v>
      </c>
      <c r="J18" s="15" t="s">
        <v>351</v>
      </c>
      <c r="K18" s="15" t="s">
        <v>484</v>
      </c>
      <c r="L18" s="15" t="s">
        <v>77</v>
      </c>
      <c r="M18" s="15" t="s">
        <v>78</v>
      </c>
      <c r="N18" s="15" t="s">
        <v>485</v>
      </c>
      <c r="O18" s="16"/>
    </row>
    <row r="19" spans="1:15" ht="45" customHeight="1" x14ac:dyDescent="0.2">
      <c r="A19" s="14" t="s">
        <v>504</v>
      </c>
      <c r="B19" s="52" t="s">
        <v>711</v>
      </c>
      <c r="C19" s="15" t="s">
        <v>480</v>
      </c>
      <c r="D19" s="15" t="s">
        <v>481</v>
      </c>
      <c r="E19" s="15" t="s">
        <v>482</v>
      </c>
      <c r="F19" s="15" t="s">
        <v>92</v>
      </c>
      <c r="G19" s="15" t="s">
        <v>481</v>
      </c>
      <c r="H19" s="15" t="s">
        <v>483</v>
      </c>
      <c r="I19" s="15" t="s">
        <v>350</v>
      </c>
      <c r="J19" s="15" t="s">
        <v>351</v>
      </c>
      <c r="K19" s="15" t="s">
        <v>484</v>
      </c>
      <c r="L19" s="15" t="s">
        <v>77</v>
      </c>
      <c r="M19" s="15" t="s">
        <v>78</v>
      </c>
      <c r="N19" s="15" t="s">
        <v>485</v>
      </c>
      <c r="O19" s="16"/>
    </row>
    <row r="20" spans="1:15" ht="45" customHeight="1" x14ac:dyDescent="0.2">
      <c r="A20" s="14" t="s">
        <v>505</v>
      </c>
      <c r="B20" s="14" t="s">
        <v>724</v>
      </c>
      <c r="C20" s="15" t="s">
        <v>480</v>
      </c>
      <c r="D20" s="15" t="s">
        <v>481</v>
      </c>
      <c r="E20" s="15" t="s">
        <v>482</v>
      </c>
      <c r="F20" s="15" t="s">
        <v>354</v>
      </c>
      <c r="G20" s="15" t="s">
        <v>481</v>
      </c>
      <c r="H20" s="15" t="s">
        <v>483</v>
      </c>
      <c r="I20" s="15" t="s">
        <v>350</v>
      </c>
      <c r="J20" s="15" t="s">
        <v>495</v>
      </c>
      <c r="K20" s="15" t="s">
        <v>351</v>
      </c>
      <c r="L20" s="15" t="s">
        <v>72</v>
      </c>
      <c r="M20" s="15" t="s">
        <v>73</v>
      </c>
      <c r="N20" s="15" t="s">
        <v>485</v>
      </c>
      <c r="O20" s="16" t="s">
        <v>506</v>
      </c>
    </row>
    <row r="21" spans="1:15" ht="45" customHeight="1" x14ac:dyDescent="0.2">
      <c r="A21" s="14" t="s">
        <v>713</v>
      </c>
      <c r="B21" s="14" t="s">
        <v>714</v>
      </c>
      <c r="C21" s="15" t="s">
        <v>480</v>
      </c>
      <c r="D21" s="15" t="s">
        <v>481</v>
      </c>
      <c r="E21" s="15" t="s">
        <v>728</v>
      </c>
      <c r="F21" s="15" t="s">
        <v>726</v>
      </c>
      <c r="G21" s="15" t="s">
        <v>481</v>
      </c>
      <c r="H21" s="15" t="s">
        <v>483</v>
      </c>
      <c r="I21" s="15" t="s">
        <v>350</v>
      </c>
      <c r="J21" s="15" t="s">
        <v>495</v>
      </c>
      <c r="K21" s="15" t="s">
        <v>496</v>
      </c>
      <c r="L21" s="15" t="s">
        <v>72</v>
      </c>
      <c r="M21" s="15" t="s">
        <v>73</v>
      </c>
      <c r="N21" s="15" t="s">
        <v>729</v>
      </c>
      <c r="O21" s="16" t="s">
        <v>730</v>
      </c>
    </row>
    <row r="22" spans="1:15" ht="45" customHeight="1" x14ac:dyDescent="0.2">
      <c r="A22" s="14" t="s">
        <v>715</v>
      </c>
      <c r="B22" s="14" t="s">
        <v>714</v>
      </c>
      <c r="C22" s="15" t="s">
        <v>480</v>
      </c>
      <c r="D22" s="15" t="s">
        <v>481</v>
      </c>
      <c r="E22" s="15" t="s">
        <v>727</v>
      </c>
      <c r="F22" s="15" t="s">
        <v>726</v>
      </c>
      <c r="G22" s="15" t="s">
        <v>481</v>
      </c>
      <c r="H22" s="15" t="s">
        <v>483</v>
      </c>
      <c r="I22" s="15" t="s">
        <v>350</v>
      </c>
      <c r="J22" s="15" t="s">
        <v>495</v>
      </c>
      <c r="K22" s="15" t="s">
        <v>496</v>
      </c>
      <c r="L22" s="15" t="s">
        <v>72</v>
      </c>
      <c r="M22" s="15" t="s">
        <v>73</v>
      </c>
      <c r="N22" s="15" t="s">
        <v>729</v>
      </c>
      <c r="O22" s="16" t="s">
        <v>731</v>
      </c>
    </row>
    <row r="23" spans="1:15" ht="45" customHeight="1" x14ac:dyDescent="0.2">
      <c r="A23" s="14" t="s">
        <v>348</v>
      </c>
      <c r="B23" s="14" t="s">
        <v>711</v>
      </c>
      <c r="C23" s="15" t="s">
        <v>480</v>
      </c>
      <c r="D23" s="15" t="s">
        <v>481</v>
      </c>
      <c r="E23" s="15" t="s">
        <v>482</v>
      </c>
      <c r="F23" s="15" t="s">
        <v>206</v>
      </c>
      <c r="G23" s="15" t="s">
        <v>481</v>
      </c>
      <c r="H23" s="15" t="s">
        <v>483</v>
      </c>
      <c r="I23" s="15" t="s">
        <v>350</v>
      </c>
      <c r="J23" s="15" t="s">
        <v>351</v>
      </c>
      <c r="K23" s="15" t="s">
        <v>484</v>
      </c>
      <c r="L23" s="15" t="s">
        <v>77</v>
      </c>
      <c r="M23" s="15" t="s">
        <v>78</v>
      </c>
      <c r="N23" s="15" t="s">
        <v>485</v>
      </c>
      <c r="O23" s="16"/>
    </row>
    <row r="24" spans="1:15" ht="45" customHeight="1" x14ac:dyDescent="0.2">
      <c r="A24" s="14" t="s">
        <v>507</v>
      </c>
      <c r="B24" s="14" t="s">
        <v>714</v>
      </c>
      <c r="C24" s="15" t="s">
        <v>480</v>
      </c>
      <c r="D24" s="15" t="s">
        <v>481</v>
      </c>
      <c r="E24" s="15" t="s">
        <v>482</v>
      </c>
      <c r="F24" s="15" t="s">
        <v>24</v>
      </c>
      <c r="G24" s="15" t="s">
        <v>481</v>
      </c>
      <c r="H24" s="15" t="s">
        <v>483</v>
      </c>
      <c r="I24" s="15" t="s">
        <v>350</v>
      </c>
      <c r="J24" s="15" t="s">
        <v>495</v>
      </c>
      <c r="K24" s="15" t="s">
        <v>496</v>
      </c>
      <c r="L24" s="15" t="s">
        <v>72</v>
      </c>
      <c r="M24" s="15" t="s">
        <v>73</v>
      </c>
      <c r="N24" s="15" t="s">
        <v>70</v>
      </c>
      <c r="O24" s="16" t="s">
        <v>508</v>
      </c>
    </row>
    <row r="25" spans="1:15" ht="45" customHeight="1" x14ac:dyDescent="0.2">
      <c r="A25" s="14" t="s">
        <v>509</v>
      </c>
      <c r="B25" s="14" t="s">
        <v>711</v>
      </c>
      <c r="C25" s="15" t="s">
        <v>480</v>
      </c>
      <c r="D25" s="15" t="s">
        <v>481</v>
      </c>
      <c r="E25" s="15" t="s">
        <v>482</v>
      </c>
      <c r="F25" s="15" t="s">
        <v>206</v>
      </c>
      <c r="G25" s="15" t="s">
        <v>481</v>
      </c>
      <c r="H25" s="15" t="s">
        <v>483</v>
      </c>
      <c r="I25" s="15" t="s">
        <v>350</v>
      </c>
      <c r="J25" s="15" t="s">
        <v>351</v>
      </c>
      <c r="K25" s="15" t="s">
        <v>484</v>
      </c>
      <c r="L25" s="15" t="s">
        <v>77</v>
      </c>
      <c r="M25" s="15" t="s">
        <v>78</v>
      </c>
      <c r="N25" s="15" t="s">
        <v>485</v>
      </c>
      <c r="O25" s="16"/>
    </row>
    <row r="26" spans="1:15" ht="45" customHeight="1" x14ac:dyDescent="0.2">
      <c r="A26" s="14" t="s">
        <v>510</v>
      </c>
      <c r="B26" s="14" t="s">
        <v>711</v>
      </c>
      <c r="C26" s="15" t="s">
        <v>480</v>
      </c>
      <c r="D26" s="15" t="s">
        <v>481</v>
      </c>
      <c r="E26" s="15" t="s">
        <v>482</v>
      </c>
      <c r="F26" s="15" t="s">
        <v>24</v>
      </c>
      <c r="G26" s="15" t="s">
        <v>481</v>
      </c>
      <c r="H26" s="15" t="s">
        <v>483</v>
      </c>
      <c r="I26" s="15" t="s">
        <v>350</v>
      </c>
      <c r="J26" s="15" t="s">
        <v>351</v>
      </c>
      <c r="K26" s="15" t="s">
        <v>484</v>
      </c>
      <c r="L26" s="15" t="s">
        <v>77</v>
      </c>
      <c r="M26" s="15" t="s">
        <v>78</v>
      </c>
      <c r="N26" s="15" t="s">
        <v>485</v>
      </c>
      <c r="O26" s="16"/>
    </row>
    <row r="27" spans="1:15" ht="45" customHeight="1" x14ac:dyDescent="0.2">
      <c r="A27" s="14" t="s">
        <v>511</v>
      </c>
      <c r="B27" s="14" t="s">
        <v>710</v>
      </c>
      <c r="C27" s="15" t="s">
        <v>480</v>
      </c>
      <c r="D27" s="15" t="s">
        <v>481</v>
      </c>
      <c r="E27" s="15" t="s">
        <v>482</v>
      </c>
      <c r="F27" s="15" t="s">
        <v>354</v>
      </c>
      <c r="G27" s="15" t="s">
        <v>481</v>
      </c>
      <c r="H27" s="15" t="s">
        <v>483</v>
      </c>
      <c r="I27" s="15" t="s">
        <v>350</v>
      </c>
      <c r="J27" s="15" t="s">
        <v>351</v>
      </c>
      <c r="K27" s="15" t="s">
        <v>484</v>
      </c>
      <c r="L27" s="15" t="s">
        <v>72</v>
      </c>
      <c r="M27" s="15" t="s">
        <v>73</v>
      </c>
      <c r="N27" s="15" t="s">
        <v>485</v>
      </c>
      <c r="O27" s="16"/>
    </row>
    <row r="28" spans="1:15" ht="45" customHeight="1" x14ac:dyDescent="0.2">
      <c r="A28" s="14" t="s">
        <v>352</v>
      </c>
      <c r="B28" s="14" t="s">
        <v>711</v>
      </c>
      <c r="C28" s="15" t="s">
        <v>480</v>
      </c>
      <c r="D28" s="15" t="s">
        <v>481</v>
      </c>
      <c r="E28" s="15" t="s">
        <v>482</v>
      </c>
      <c r="F28" s="15" t="s">
        <v>206</v>
      </c>
      <c r="G28" s="15" t="s">
        <v>481</v>
      </c>
      <c r="H28" s="15" t="s">
        <v>483</v>
      </c>
      <c r="I28" s="15" t="s">
        <v>350</v>
      </c>
      <c r="J28" s="15" t="s">
        <v>351</v>
      </c>
      <c r="K28" s="15" t="s">
        <v>484</v>
      </c>
      <c r="L28" s="15" t="s">
        <v>77</v>
      </c>
      <c r="M28" s="15" t="s">
        <v>78</v>
      </c>
      <c r="N28" s="15" t="s">
        <v>485</v>
      </c>
      <c r="O28" s="16"/>
    </row>
    <row r="29" spans="1:15" ht="45" customHeight="1" x14ac:dyDescent="0.2">
      <c r="A29" s="14" t="s">
        <v>512</v>
      </c>
      <c r="B29" s="14" t="s">
        <v>714</v>
      </c>
      <c r="C29" s="15" t="s">
        <v>480</v>
      </c>
      <c r="D29" s="15" t="s">
        <v>481</v>
      </c>
      <c r="E29" s="15" t="s">
        <v>482</v>
      </c>
      <c r="F29" s="15" t="s">
        <v>513</v>
      </c>
      <c r="G29" s="15" t="s">
        <v>481</v>
      </c>
      <c r="H29" s="15" t="s">
        <v>483</v>
      </c>
      <c r="I29" s="15" t="s">
        <v>350</v>
      </c>
      <c r="J29" s="15" t="s">
        <v>495</v>
      </c>
      <c r="K29" s="15" t="s">
        <v>484</v>
      </c>
      <c r="L29" s="15" t="s">
        <v>72</v>
      </c>
      <c r="M29" s="15" t="s">
        <v>73</v>
      </c>
      <c r="N29" s="15" t="s">
        <v>485</v>
      </c>
      <c r="O29" s="16" t="s">
        <v>514</v>
      </c>
    </row>
    <row r="30" spans="1:15" ht="45" customHeight="1" x14ac:dyDescent="0.2">
      <c r="A30" s="14" t="s">
        <v>515</v>
      </c>
      <c r="B30" s="14" t="s">
        <v>711</v>
      </c>
      <c r="C30" s="15" t="s">
        <v>480</v>
      </c>
      <c r="D30" s="15" t="s">
        <v>481</v>
      </c>
      <c r="E30" s="15" t="s">
        <v>482</v>
      </c>
      <c r="F30" s="15" t="s">
        <v>24</v>
      </c>
      <c r="G30" s="15" t="s">
        <v>481</v>
      </c>
      <c r="H30" s="15" t="s">
        <v>483</v>
      </c>
      <c r="I30" s="15" t="s">
        <v>350</v>
      </c>
      <c r="J30" s="15" t="s">
        <v>495</v>
      </c>
      <c r="K30" s="15" t="s">
        <v>496</v>
      </c>
      <c r="L30" s="15" t="s">
        <v>77</v>
      </c>
      <c r="M30" s="15" t="s">
        <v>78</v>
      </c>
      <c r="N30" s="15" t="s">
        <v>70</v>
      </c>
      <c r="O30" s="16" t="s">
        <v>508</v>
      </c>
    </row>
    <row r="31" spans="1:15" ht="45" customHeight="1" x14ac:dyDescent="0.2">
      <c r="A31" s="14" t="s">
        <v>516</v>
      </c>
      <c r="B31" s="14" t="s">
        <v>710</v>
      </c>
      <c r="C31" s="15" t="s">
        <v>480</v>
      </c>
      <c r="D31" s="15" t="s">
        <v>481</v>
      </c>
      <c r="E31" s="15" t="s">
        <v>482</v>
      </c>
      <c r="F31" s="15" t="s">
        <v>354</v>
      </c>
      <c r="G31" s="15" t="s">
        <v>481</v>
      </c>
      <c r="H31" s="15" t="s">
        <v>483</v>
      </c>
      <c r="I31" s="15" t="s">
        <v>350</v>
      </c>
      <c r="J31" s="15" t="s">
        <v>351</v>
      </c>
      <c r="K31" s="15" t="s">
        <v>484</v>
      </c>
      <c r="L31" s="15" t="s">
        <v>72</v>
      </c>
      <c r="M31" s="15" t="s">
        <v>73</v>
      </c>
      <c r="N31" s="15" t="s">
        <v>485</v>
      </c>
      <c r="O31" s="16"/>
    </row>
    <row r="32" spans="1:15" ht="45" customHeight="1" x14ac:dyDescent="0.2">
      <c r="A32" s="14" t="s">
        <v>517</v>
      </c>
      <c r="B32" s="14" t="s">
        <v>711</v>
      </c>
      <c r="C32" s="15" t="s">
        <v>480</v>
      </c>
      <c r="D32" s="15" t="s">
        <v>481</v>
      </c>
      <c r="E32" s="15" t="s">
        <v>482</v>
      </c>
      <c r="F32" s="15" t="s">
        <v>24</v>
      </c>
      <c r="G32" s="15" t="s">
        <v>481</v>
      </c>
      <c r="H32" s="15" t="s">
        <v>483</v>
      </c>
      <c r="I32" s="15" t="s">
        <v>350</v>
      </c>
      <c r="J32" s="15" t="s">
        <v>351</v>
      </c>
      <c r="K32" s="15" t="s">
        <v>484</v>
      </c>
      <c r="L32" s="15" t="s">
        <v>77</v>
      </c>
      <c r="M32" s="15" t="s">
        <v>78</v>
      </c>
      <c r="N32" s="15" t="s">
        <v>485</v>
      </c>
      <c r="O32" s="16"/>
    </row>
    <row r="33" spans="1:15" ht="45" customHeight="1" x14ac:dyDescent="0.2">
      <c r="A33" s="14" t="s">
        <v>518</v>
      </c>
      <c r="B33" s="14" t="s">
        <v>714</v>
      </c>
      <c r="C33" s="15" t="s">
        <v>480</v>
      </c>
      <c r="D33" s="15" t="s">
        <v>481</v>
      </c>
      <c r="E33" s="15" t="s">
        <v>356</v>
      </c>
      <c r="F33" s="15" t="s">
        <v>519</v>
      </c>
      <c r="G33" s="15" t="s">
        <v>481</v>
      </c>
      <c r="H33" s="15" t="s">
        <v>483</v>
      </c>
      <c r="I33" s="15" t="s">
        <v>350</v>
      </c>
      <c r="J33" s="15" t="s">
        <v>495</v>
      </c>
      <c r="K33" s="15" t="s">
        <v>351</v>
      </c>
      <c r="L33" s="15" t="s">
        <v>72</v>
      </c>
      <c r="M33" s="15" t="s">
        <v>73</v>
      </c>
      <c r="N33" s="15" t="s">
        <v>485</v>
      </c>
      <c r="O33" s="16" t="s">
        <v>520</v>
      </c>
    </row>
    <row r="34" spans="1:15" ht="45" customHeight="1" x14ac:dyDescent="0.2">
      <c r="A34" s="14" t="s">
        <v>521</v>
      </c>
      <c r="B34" s="14" t="s">
        <v>710</v>
      </c>
      <c r="C34" s="15" t="s">
        <v>480</v>
      </c>
      <c r="D34" s="15" t="s">
        <v>481</v>
      </c>
      <c r="E34" s="15" t="s">
        <v>482</v>
      </c>
      <c r="F34" s="15" t="s">
        <v>354</v>
      </c>
      <c r="G34" s="15" t="s">
        <v>481</v>
      </c>
      <c r="H34" s="15" t="s">
        <v>483</v>
      </c>
      <c r="I34" s="15" t="s">
        <v>350</v>
      </c>
      <c r="J34" s="15" t="s">
        <v>351</v>
      </c>
      <c r="K34" s="15" t="s">
        <v>484</v>
      </c>
      <c r="L34" s="15" t="s">
        <v>72</v>
      </c>
      <c r="M34" s="15" t="s">
        <v>73</v>
      </c>
      <c r="N34" s="15" t="s">
        <v>485</v>
      </c>
      <c r="O34" s="16"/>
    </row>
    <row r="35" spans="1:15" ht="45" customHeight="1" x14ac:dyDescent="0.2">
      <c r="A35" s="14" t="s">
        <v>522</v>
      </c>
      <c r="B35" s="14" t="s">
        <v>710</v>
      </c>
      <c r="C35" s="15" t="s">
        <v>480</v>
      </c>
      <c r="D35" s="15" t="s">
        <v>481</v>
      </c>
      <c r="E35" s="15" t="s">
        <v>523</v>
      </c>
      <c r="F35" s="15" t="s">
        <v>524</v>
      </c>
      <c r="G35" s="15" t="s">
        <v>481</v>
      </c>
      <c r="H35" s="15" t="s">
        <v>483</v>
      </c>
      <c r="I35" s="15" t="s">
        <v>350</v>
      </c>
      <c r="J35" s="15" t="s">
        <v>351</v>
      </c>
      <c r="K35" s="15" t="s">
        <v>525</v>
      </c>
      <c r="L35" s="15" t="s">
        <v>77</v>
      </c>
      <c r="M35" s="15" t="s">
        <v>78</v>
      </c>
      <c r="N35" s="15" t="s">
        <v>70</v>
      </c>
      <c r="O35" s="39" t="s">
        <v>690</v>
      </c>
    </row>
    <row r="36" spans="1:15" ht="45" customHeight="1" x14ac:dyDescent="0.2">
      <c r="A36" s="14" t="s">
        <v>358</v>
      </c>
      <c r="B36" s="14" t="s">
        <v>714</v>
      </c>
      <c r="C36" s="15" t="s">
        <v>480</v>
      </c>
      <c r="D36" s="15" t="s">
        <v>481</v>
      </c>
      <c r="E36" s="15" t="s">
        <v>482</v>
      </c>
      <c r="F36" s="15" t="s">
        <v>513</v>
      </c>
      <c r="G36" s="15" t="s">
        <v>481</v>
      </c>
      <c r="H36" s="15" t="s">
        <v>483</v>
      </c>
      <c r="I36" s="15" t="s">
        <v>350</v>
      </c>
      <c r="J36" s="15" t="s">
        <v>495</v>
      </c>
      <c r="K36" s="15" t="s">
        <v>351</v>
      </c>
      <c r="L36" s="15" t="s">
        <v>72</v>
      </c>
      <c r="M36" s="15" t="s">
        <v>73</v>
      </c>
      <c r="N36" s="15" t="s">
        <v>485</v>
      </c>
      <c r="O36" s="16" t="s">
        <v>526</v>
      </c>
    </row>
    <row r="37" spans="1:15" ht="45" customHeight="1" x14ac:dyDescent="0.2">
      <c r="A37" s="14" t="s">
        <v>527</v>
      </c>
      <c r="B37" s="14" t="s">
        <v>710</v>
      </c>
      <c r="C37" s="15" t="s">
        <v>480</v>
      </c>
      <c r="D37" s="15" t="s">
        <v>481</v>
      </c>
      <c r="E37" s="15" t="s">
        <v>482</v>
      </c>
      <c r="F37" s="15" t="s">
        <v>25</v>
      </c>
      <c r="G37" s="15" t="s">
        <v>481</v>
      </c>
      <c r="H37" s="15" t="s">
        <v>483</v>
      </c>
      <c r="I37" s="15" t="s">
        <v>350</v>
      </c>
      <c r="J37" s="15" t="s">
        <v>351</v>
      </c>
      <c r="K37" s="15" t="s">
        <v>487</v>
      </c>
      <c r="L37" s="15" t="s">
        <v>72</v>
      </c>
      <c r="M37" s="15" t="s">
        <v>73</v>
      </c>
      <c r="N37" s="15" t="s">
        <v>70</v>
      </c>
      <c r="O37" s="16" t="s">
        <v>528</v>
      </c>
    </row>
    <row r="38" spans="1:15" ht="45" customHeight="1" x14ac:dyDescent="0.2">
      <c r="A38" s="14" t="s">
        <v>529</v>
      </c>
      <c r="B38" s="14" t="s">
        <v>710</v>
      </c>
      <c r="C38" s="15" t="s">
        <v>480</v>
      </c>
      <c r="D38" s="15" t="s">
        <v>481</v>
      </c>
      <c r="E38" s="15" t="s">
        <v>482</v>
      </c>
      <c r="F38" s="15" t="s">
        <v>530</v>
      </c>
      <c r="G38" s="15" t="s">
        <v>481</v>
      </c>
      <c r="H38" s="15" t="s">
        <v>483</v>
      </c>
      <c r="I38" s="15" t="s">
        <v>350</v>
      </c>
      <c r="J38" s="15" t="s">
        <v>351</v>
      </c>
      <c r="K38" s="15" t="s">
        <v>487</v>
      </c>
      <c r="L38" s="15" t="s">
        <v>72</v>
      </c>
      <c r="M38" s="15" t="s">
        <v>73</v>
      </c>
      <c r="N38" s="15" t="s">
        <v>70</v>
      </c>
      <c r="O38" s="16" t="s">
        <v>531</v>
      </c>
    </row>
    <row r="39" spans="1:15" ht="45" customHeight="1" x14ac:dyDescent="0.2">
      <c r="A39" s="14" t="s">
        <v>532</v>
      </c>
      <c r="B39" s="14" t="s">
        <v>711</v>
      </c>
      <c r="C39" s="15" t="s">
        <v>480</v>
      </c>
      <c r="D39" s="15" t="s">
        <v>481</v>
      </c>
      <c r="E39" s="15" t="s">
        <v>482</v>
      </c>
      <c r="F39" s="15" t="s">
        <v>92</v>
      </c>
      <c r="G39" s="15" t="s">
        <v>481</v>
      </c>
      <c r="H39" s="15" t="s">
        <v>483</v>
      </c>
      <c r="I39" s="15" t="s">
        <v>350</v>
      </c>
      <c r="J39" s="15" t="s">
        <v>351</v>
      </c>
      <c r="K39" s="15" t="s">
        <v>484</v>
      </c>
      <c r="L39" s="15" t="s">
        <v>77</v>
      </c>
      <c r="M39" s="15" t="s">
        <v>78</v>
      </c>
      <c r="N39" s="15" t="s">
        <v>485</v>
      </c>
      <c r="O39" s="16"/>
    </row>
    <row r="40" spans="1:15" ht="45" customHeight="1" x14ac:dyDescent="0.2">
      <c r="A40" s="14" t="s">
        <v>533</v>
      </c>
      <c r="B40" s="14" t="s">
        <v>710</v>
      </c>
      <c r="C40" s="15" t="s">
        <v>480</v>
      </c>
      <c r="D40" s="15" t="s">
        <v>481</v>
      </c>
      <c r="E40" s="15" t="s">
        <v>482</v>
      </c>
      <c r="F40" s="15" t="s">
        <v>354</v>
      </c>
      <c r="G40" s="15" t="s">
        <v>481</v>
      </c>
      <c r="H40" s="15" t="s">
        <v>483</v>
      </c>
      <c r="I40" s="15" t="s">
        <v>350</v>
      </c>
      <c r="J40" s="15" t="s">
        <v>351</v>
      </c>
      <c r="K40" s="15" t="s">
        <v>484</v>
      </c>
      <c r="L40" s="15" t="s">
        <v>77</v>
      </c>
      <c r="M40" s="15" t="s">
        <v>78</v>
      </c>
      <c r="N40" s="15" t="s">
        <v>485</v>
      </c>
      <c r="O40" s="16"/>
    </row>
    <row r="41" spans="1:15" ht="45" customHeight="1" x14ac:dyDescent="0.2">
      <c r="A41" s="14" t="s">
        <v>534</v>
      </c>
      <c r="B41" s="14" t="s">
        <v>711</v>
      </c>
      <c r="C41" s="15" t="s">
        <v>480</v>
      </c>
      <c r="D41" s="15" t="s">
        <v>481</v>
      </c>
      <c r="E41" s="15" t="s">
        <v>482</v>
      </c>
      <c r="F41" s="46" t="s">
        <v>92</v>
      </c>
      <c r="G41" s="15" t="s">
        <v>481</v>
      </c>
      <c r="H41" s="15" t="s">
        <v>483</v>
      </c>
      <c r="I41" s="15" t="s">
        <v>350</v>
      </c>
      <c r="J41" s="15" t="s">
        <v>351</v>
      </c>
      <c r="K41" s="15" t="s">
        <v>484</v>
      </c>
      <c r="L41" s="15" t="s">
        <v>77</v>
      </c>
      <c r="M41" s="15" t="s">
        <v>78</v>
      </c>
      <c r="N41" s="15" t="s">
        <v>485</v>
      </c>
      <c r="O41" s="16"/>
    </row>
    <row r="42" spans="1:15" ht="45" customHeight="1" x14ac:dyDescent="0.2">
      <c r="A42" s="42" t="s">
        <v>535</v>
      </c>
      <c r="B42" s="42" t="s">
        <v>710</v>
      </c>
      <c r="C42" s="15" t="s">
        <v>480</v>
      </c>
      <c r="D42" s="15" t="s">
        <v>481</v>
      </c>
      <c r="E42" s="45" t="s">
        <v>482</v>
      </c>
      <c r="F42" s="47" t="s">
        <v>25</v>
      </c>
      <c r="G42" s="41" t="s">
        <v>481</v>
      </c>
      <c r="H42" s="15" t="s">
        <v>483</v>
      </c>
      <c r="I42" s="15" t="s">
        <v>350</v>
      </c>
      <c r="J42" s="15" t="s">
        <v>351</v>
      </c>
      <c r="K42" s="15" t="s">
        <v>484</v>
      </c>
      <c r="L42" s="15" t="s">
        <v>72</v>
      </c>
      <c r="M42" s="15" t="s">
        <v>73</v>
      </c>
      <c r="N42" s="15" t="s">
        <v>485</v>
      </c>
      <c r="O42" s="50" t="s">
        <v>536</v>
      </c>
    </row>
    <row r="43" spans="1:15" ht="39" x14ac:dyDescent="0.2">
      <c r="A43" s="43" t="s">
        <v>694</v>
      </c>
      <c r="B43" s="43" t="s">
        <v>718</v>
      </c>
      <c r="C43" s="41" t="s">
        <v>480</v>
      </c>
      <c r="D43" s="15" t="s">
        <v>481</v>
      </c>
      <c r="E43" s="45" t="s">
        <v>482</v>
      </c>
      <c r="F43" s="47" t="s">
        <v>702</v>
      </c>
      <c r="G43" s="41" t="s">
        <v>481</v>
      </c>
      <c r="H43" s="15" t="s">
        <v>483</v>
      </c>
      <c r="I43" s="15" t="s">
        <v>350</v>
      </c>
      <c r="J43" s="44" t="s">
        <v>495</v>
      </c>
      <c r="K43" s="15" t="s">
        <v>484</v>
      </c>
      <c r="L43" s="15" t="s">
        <v>72</v>
      </c>
      <c r="M43" s="15" t="s">
        <v>73</v>
      </c>
      <c r="N43" s="45" t="s">
        <v>485</v>
      </c>
      <c r="O43" s="51" t="s">
        <v>707</v>
      </c>
    </row>
    <row r="44" spans="1:15" ht="39" x14ac:dyDescent="0.2">
      <c r="A44" s="43" t="s">
        <v>695</v>
      </c>
      <c r="B44" s="43" t="s">
        <v>719</v>
      </c>
      <c r="C44" s="41" t="s">
        <v>480</v>
      </c>
      <c r="D44" s="15" t="s">
        <v>481</v>
      </c>
      <c r="E44" s="45" t="s">
        <v>482</v>
      </c>
      <c r="F44" s="47" t="s">
        <v>702</v>
      </c>
      <c r="G44" s="41" t="s">
        <v>481</v>
      </c>
      <c r="H44" s="15" t="s">
        <v>483</v>
      </c>
      <c r="I44" s="45" t="s">
        <v>350</v>
      </c>
      <c r="J44" s="47" t="s">
        <v>495</v>
      </c>
      <c r="K44" s="15" t="s">
        <v>484</v>
      </c>
      <c r="L44" s="15" t="s">
        <v>72</v>
      </c>
      <c r="M44" s="15" t="s">
        <v>73</v>
      </c>
      <c r="N44" s="45" t="s">
        <v>485</v>
      </c>
      <c r="O44" s="47" t="s">
        <v>706</v>
      </c>
    </row>
    <row r="45" spans="1:15" ht="39" x14ac:dyDescent="0.2">
      <c r="A45" s="43" t="s">
        <v>696</v>
      </c>
      <c r="B45" s="42" t="s">
        <v>710</v>
      </c>
      <c r="C45" s="41" t="s">
        <v>480</v>
      </c>
      <c r="D45" s="15" t="s">
        <v>481</v>
      </c>
      <c r="E45" s="45" t="s">
        <v>482</v>
      </c>
      <c r="F45" s="47" t="s">
        <v>25</v>
      </c>
      <c r="G45" s="41" t="s">
        <v>481</v>
      </c>
      <c r="H45" s="15" t="s">
        <v>483</v>
      </c>
      <c r="I45" s="15" t="s">
        <v>350</v>
      </c>
      <c r="J45" s="48" t="s">
        <v>351</v>
      </c>
      <c r="K45" s="49" t="s">
        <v>487</v>
      </c>
      <c r="L45" s="15" t="s">
        <v>72</v>
      </c>
      <c r="M45" s="15" t="s">
        <v>73</v>
      </c>
      <c r="N45" s="45" t="s">
        <v>70</v>
      </c>
      <c r="O45" s="47"/>
    </row>
    <row r="46" spans="1:15" ht="39" x14ac:dyDescent="0.2">
      <c r="A46" s="43" t="s">
        <v>697</v>
      </c>
      <c r="B46" s="42" t="s">
        <v>710</v>
      </c>
      <c r="C46" s="41" t="s">
        <v>480</v>
      </c>
      <c r="D46" s="15" t="s">
        <v>481</v>
      </c>
      <c r="E46" s="45" t="s">
        <v>482</v>
      </c>
      <c r="F46" s="47" t="s">
        <v>703</v>
      </c>
      <c r="G46" s="41" t="s">
        <v>481</v>
      </c>
      <c r="H46" s="15" t="s">
        <v>483</v>
      </c>
      <c r="I46" s="15" t="s">
        <v>350</v>
      </c>
      <c r="J46" s="15" t="s">
        <v>351</v>
      </c>
      <c r="K46" s="15" t="s">
        <v>484</v>
      </c>
      <c r="L46" s="15" t="s">
        <v>77</v>
      </c>
      <c r="M46" s="15" t="s">
        <v>78</v>
      </c>
      <c r="N46" s="45" t="s">
        <v>485</v>
      </c>
      <c r="O46" s="9"/>
    </row>
    <row r="47" spans="1:15" ht="39" x14ac:dyDescent="0.2">
      <c r="A47" s="43" t="s">
        <v>698</v>
      </c>
      <c r="B47" s="14" t="s">
        <v>711</v>
      </c>
      <c r="C47" s="41" t="s">
        <v>480</v>
      </c>
      <c r="D47" s="15" t="s">
        <v>481</v>
      </c>
      <c r="E47" s="45" t="s">
        <v>482</v>
      </c>
      <c r="F47" s="47" t="s">
        <v>206</v>
      </c>
      <c r="G47" s="41" t="s">
        <v>481</v>
      </c>
      <c r="H47" s="15" t="s">
        <v>483</v>
      </c>
      <c r="I47" s="15" t="s">
        <v>350</v>
      </c>
      <c r="J47" s="15" t="s">
        <v>351</v>
      </c>
      <c r="K47" s="15" t="s">
        <v>484</v>
      </c>
      <c r="L47" s="15" t="s">
        <v>77</v>
      </c>
      <c r="M47" s="15" t="s">
        <v>78</v>
      </c>
      <c r="N47" s="15" t="s">
        <v>485</v>
      </c>
      <c r="O47" s="44" t="s">
        <v>708</v>
      </c>
    </row>
    <row r="48" spans="1:15" ht="39" x14ac:dyDescent="0.2">
      <c r="A48" s="43" t="s">
        <v>699</v>
      </c>
      <c r="B48" s="42" t="s">
        <v>710</v>
      </c>
      <c r="C48" s="41" t="s">
        <v>480</v>
      </c>
      <c r="D48" s="15" t="s">
        <v>481</v>
      </c>
      <c r="E48" s="45" t="s">
        <v>482</v>
      </c>
      <c r="F48" s="47" t="s">
        <v>704</v>
      </c>
      <c r="G48" s="41" t="s">
        <v>481</v>
      </c>
      <c r="H48" s="15" t="s">
        <v>483</v>
      </c>
      <c r="I48" s="15" t="s">
        <v>350</v>
      </c>
      <c r="J48" s="15" t="s">
        <v>351</v>
      </c>
      <c r="K48" s="15" t="s">
        <v>484</v>
      </c>
      <c r="L48" s="15" t="s">
        <v>72</v>
      </c>
      <c r="M48" s="15" t="s">
        <v>78</v>
      </c>
      <c r="N48" s="45" t="s">
        <v>485</v>
      </c>
      <c r="O48" s="9"/>
    </row>
    <row r="49" spans="1:15" ht="39" x14ac:dyDescent="0.2">
      <c r="A49" s="43" t="s">
        <v>700</v>
      </c>
      <c r="B49" s="43" t="s">
        <v>718</v>
      </c>
      <c r="C49" s="41" t="s">
        <v>480</v>
      </c>
      <c r="D49" s="15" t="s">
        <v>481</v>
      </c>
      <c r="E49" s="45" t="s">
        <v>482</v>
      </c>
      <c r="F49" s="47" t="s">
        <v>354</v>
      </c>
      <c r="G49" s="41" t="s">
        <v>481</v>
      </c>
      <c r="H49" s="15" t="s">
        <v>483</v>
      </c>
      <c r="I49" s="15" t="s">
        <v>350</v>
      </c>
      <c r="J49" s="44" t="s">
        <v>495</v>
      </c>
      <c r="K49" s="15" t="s">
        <v>484</v>
      </c>
      <c r="L49" s="15" t="s">
        <v>72</v>
      </c>
      <c r="M49" s="15" t="s">
        <v>73</v>
      </c>
      <c r="N49" s="15" t="s">
        <v>485</v>
      </c>
    </row>
    <row r="50" spans="1:15" ht="39" x14ac:dyDescent="0.2">
      <c r="A50" s="43" t="s">
        <v>701</v>
      </c>
      <c r="B50" s="43" t="s">
        <v>710</v>
      </c>
      <c r="C50" s="41" t="s">
        <v>480</v>
      </c>
      <c r="D50" s="15" t="s">
        <v>481</v>
      </c>
      <c r="E50" s="45" t="s">
        <v>482</v>
      </c>
      <c r="F50" s="47" t="s">
        <v>705</v>
      </c>
      <c r="G50" s="41" t="s">
        <v>481</v>
      </c>
      <c r="H50" s="15" t="s">
        <v>483</v>
      </c>
      <c r="I50" s="15" t="s">
        <v>350</v>
      </c>
      <c r="J50" s="15" t="s">
        <v>351</v>
      </c>
      <c r="K50" s="15" t="s">
        <v>484</v>
      </c>
      <c r="L50" s="15" t="s">
        <v>72</v>
      </c>
      <c r="M50" s="15" t="s">
        <v>73</v>
      </c>
      <c r="N50" s="45" t="s">
        <v>485</v>
      </c>
      <c r="O50" s="9"/>
    </row>
    <row r="51" spans="1:15" ht="39" x14ac:dyDescent="0.2">
      <c r="A51" s="40" t="s">
        <v>717</v>
      </c>
      <c r="B51" s="40" t="s">
        <v>711</v>
      </c>
      <c r="C51" s="41" t="s">
        <v>480</v>
      </c>
      <c r="D51" s="15" t="s">
        <v>481</v>
      </c>
      <c r="E51" s="45" t="s">
        <v>482</v>
      </c>
      <c r="F51" s="47" t="s">
        <v>732</v>
      </c>
      <c r="G51" s="41" t="s">
        <v>481</v>
      </c>
      <c r="H51" s="15" t="s">
        <v>483</v>
      </c>
      <c r="I51" s="15" t="s">
        <v>350</v>
      </c>
      <c r="J51" s="15" t="s">
        <v>351</v>
      </c>
      <c r="K51" s="15" t="s">
        <v>484</v>
      </c>
      <c r="L51" s="15" t="s">
        <v>77</v>
      </c>
      <c r="M51" s="15" t="s">
        <v>78</v>
      </c>
      <c r="N51" s="45" t="s">
        <v>485</v>
      </c>
      <c r="O51" s="47" t="s">
        <v>733</v>
      </c>
    </row>
    <row r="52" spans="1:15" x14ac:dyDescent="0.2">
      <c r="A52" s="40"/>
      <c r="B52" s="40"/>
    </row>
    <row r="53" spans="1:15" x14ac:dyDescent="0.2">
      <c r="A53" s="114"/>
      <c r="B53" s="114"/>
      <c r="C53" s="110"/>
      <c r="D53" s="110"/>
      <c r="E53" s="110"/>
      <c r="F53" s="110"/>
      <c r="G53" s="110"/>
      <c r="H53" s="110"/>
      <c r="I53" s="110"/>
      <c r="J53" s="110"/>
      <c r="K53" s="110"/>
      <c r="L53" s="110"/>
      <c r="M53" s="110"/>
      <c r="N53" s="110"/>
      <c r="O53" s="110"/>
    </row>
    <row r="54" spans="1:15" x14ac:dyDescent="0.2">
      <c r="A54" s="112"/>
      <c r="B54" s="112"/>
      <c r="C54" s="110"/>
      <c r="D54" s="110"/>
      <c r="E54" s="110"/>
      <c r="F54" s="110"/>
      <c r="G54" s="110"/>
      <c r="H54" s="110"/>
      <c r="I54" s="110"/>
      <c r="J54" s="110"/>
      <c r="K54" s="110"/>
      <c r="L54" s="110"/>
      <c r="M54" s="110"/>
      <c r="N54" s="110"/>
      <c r="O54" s="110"/>
    </row>
    <row r="55" spans="1:15" x14ac:dyDescent="0.2">
      <c r="A55" s="112"/>
      <c r="B55" s="112"/>
      <c r="C55" s="110"/>
      <c r="D55" s="110"/>
      <c r="E55" s="110"/>
      <c r="F55" s="110"/>
      <c r="G55" s="110"/>
      <c r="H55" s="110"/>
      <c r="I55" s="110"/>
      <c r="J55" s="110"/>
      <c r="K55" s="110"/>
      <c r="L55" s="110"/>
      <c r="M55" s="110"/>
      <c r="N55" s="110"/>
      <c r="O55" s="110"/>
    </row>
    <row r="56" spans="1:15" x14ac:dyDescent="0.2">
      <c r="A56" s="112"/>
      <c r="B56" s="112"/>
      <c r="C56" s="110"/>
      <c r="D56" s="110"/>
      <c r="E56" s="110"/>
      <c r="F56" s="110"/>
      <c r="G56" s="110"/>
      <c r="H56" s="110"/>
      <c r="I56" s="110"/>
      <c r="J56" s="110"/>
      <c r="K56" s="110"/>
      <c r="L56" s="110"/>
      <c r="M56" s="110"/>
      <c r="N56" s="110"/>
      <c r="O56" s="110"/>
    </row>
    <row r="57" spans="1:15" x14ac:dyDescent="0.2">
      <c r="A57" s="112"/>
      <c r="B57" s="112"/>
      <c r="C57" s="110"/>
      <c r="D57" s="110"/>
      <c r="E57" s="110"/>
      <c r="F57" s="110"/>
      <c r="G57" s="110"/>
      <c r="H57" s="110"/>
      <c r="I57" s="110"/>
      <c r="J57" s="110"/>
      <c r="K57" s="110"/>
      <c r="L57" s="110"/>
      <c r="M57" s="110"/>
      <c r="N57" s="110"/>
      <c r="O57" s="110"/>
    </row>
    <row r="58" spans="1:15" x14ac:dyDescent="0.2">
      <c r="A58" s="112"/>
      <c r="B58" s="112"/>
      <c r="C58" s="110"/>
      <c r="D58" s="110"/>
      <c r="E58" s="110"/>
      <c r="F58" s="110"/>
      <c r="G58" s="110"/>
      <c r="H58" s="110"/>
      <c r="I58" s="110"/>
      <c r="J58" s="110"/>
      <c r="K58" s="110"/>
      <c r="L58" s="110"/>
      <c r="M58" s="110"/>
      <c r="N58" s="110"/>
      <c r="O58" s="110"/>
    </row>
    <row r="59" spans="1:15" x14ac:dyDescent="0.2">
      <c r="A59" s="112"/>
      <c r="B59" s="112"/>
      <c r="C59" s="110"/>
      <c r="D59" s="110"/>
      <c r="E59" s="110"/>
      <c r="F59" s="110"/>
      <c r="G59" s="110"/>
      <c r="H59" s="110"/>
      <c r="I59" s="110"/>
      <c r="J59" s="110"/>
      <c r="K59" s="110"/>
      <c r="L59" s="110"/>
      <c r="M59" s="110"/>
      <c r="N59" s="110"/>
      <c r="O59" s="110"/>
    </row>
    <row r="60" spans="1:15" x14ac:dyDescent="0.2">
      <c r="A60" s="112"/>
      <c r="B60" s="112"/>
      <c r="C60" s="110"/>
      <c r="D60" s="110"/>
      <c r="E60" s="110"/>
      <c r="F60" s="110"/>
      <c r="G60" s="110"/>
      <c r="H60" s="110"/>
      <c r="I60" s="110"/>
      <c r="J60" s="110"/>
      <c r="K60" s="110"/>
      <c r="L60" s="110"/>
      <c r="M60" s="110"/>
      <c r="N60" s="110"/>
      <c r="O60" s="110"/>
    </row>
    <row r="61" spans="1:15" x14ac:dyDescent="0.2">
      <c r="A61" s="112"/>
      <c r="B61" s="112"/>
      <c r="C61" s="110"/>
      <c r="D61" s="110"/>
      <c r="E61" s="110"/>
      <c r="F61" s="110"/>
      <c r="G61" s="110"/>
      <c r="H61" s="110"/>
      <c r="I61" s="110"/>
      <c r="J61" s="110"/>
      <c r="K61" s="110"/>
      <c r="L61" s="110"/>
      <c r="M61" s="110"/>
      <c r="N61" s="110"/>
      <c r="O61" s="110"/>
    </row>
    <row r="63" spans="1:15" x14ac:dyDescent="0.2">
      <c r="A63" s="113"/>
      <c r="B63" s="113"/>
      <c r="C63" s="110"/>
      <c r="D63" s="110"/>
      <c r="E63" s="110"/>
      <c r="F63" s="110"/>
      <c r="G63" s="110"/>
      <c r="H63" s="110"/>
      <c r="I63" s="110"/>
      <c r="J63" s="110"/>
      <c r="K63" s="110"/>
      <c r="L63" s="110"/>
      <c r="M63" s="110"/>
      <c r="N63" s="110"/>
      <c r="O63" s="110"/>
    </row>
    <row r="64" spans="1:15" x14ac:dyDescent="0.2">
      <c r="A64" s="111"/>
      <c r="B64" s="111"/>
      <c r="C64" s="110"/>
      <c r="D64" s="110"/>
      <c r="E64" s="110"/>
      <c r="F64" s="110"/>
      <c r="G64" s="110"/>
      <c r="H64" s="110"/>
      <c r="I64" s="110"/>
      <c r="J64" s="110"/>
      <c r="K64" s="110"/>
      <c r="L64" s="110"/>
      <c r="M64" s="110"/>
      <c r="N64" s="110"/>
      <c r="O64" s="110"/>
    </row>
    <row r="65" spans="1:15" x14ac:dyDescent="0.2">
      <c r="A65" s="111"/>
      <c r="B65" s="111"/>
      <c r="C65" s="110"/>
      <c r="D65" s="110"/>
      <c r="E65" s="110"/>
      <c r="F65" s="110"/>
      <c r="G65" s="110"/>
      <c r="H65" s="110"/>
      <c r="I65" s="110"/>
      <c r="J65" s="110"/>
      <c r="K65" s="110"/>
      <c r="L65" s="110"/>
      <c r="M65" s="110"/>
      <c r="N65" s="110"/>
      <c r="O65" s="110"/>
    </row>
    <row r="66" spans="1:15" x14ac:dyDescent="0.2">
      <c r="A66" s="111"/>
      <c r="B66" s="111"/>
      <c r="C66" s="110"/>
      <c r="D66" s="110"/>
      <c r="E66" s="110"/>
      <c r="F66" s="110"/>
      <c r="G66" s="110"/>
      <c r="H66" s="110"/>
      <c r="I66" s="110"/>
      <c r="J66" s="110"/>
      <c r="K66" s="110"/>
      <c r="L66" s="110"/>
      <c r="M66" s="110"/>
      <c r="N66" s="110"/>
      <c r="O66" s="110"/>
    </row>
    <row r="67" spans="1:15" x14ac:dyDescent="0.2">
      <c r="A67" s="111"/>
      <c r="B67" s="111"/>
      <c r="C67" s="110"/>
      <c r="D67" s="110"/>
      <c r="E67" s="110"/>
      <c r="F67" s="110"/>
      <c r="G67" s="110"/>
      <c r="H67" s="110"/>
      <c r="I67" s="110"/>
      <c r="J67" s="110"/>
      <c r="K67" s="110"/>
      <c r="L67" s="110"/>
      <c r="M67" s="110"/>
      <c r="N67" s="110"/>
      <c r="O67" s="110"/>
    </row>
  </sheetData>
  <autoFilter ref="A1:O42" xr:uid="{00000000-0009-0000-0000-000000000000}"/>
  <mergeCells count="14">
    <mergeCell ref="A58:O58"/>
    <mergeCell ref="A53:O53"/>
    <mergeCell ref="A54:O54"/>
    <mergeCell ref="A55:O55"/>
    <mergeCell ref="A56:O56"/>
    <mergeCell ref="A57:O57"/>
    <mergeCell ref="A66:O66"/>
    <mergeCell ref="A67:O67"/>
    <mergeCell ref="A59:O59"/>
    <mergeCell ref="A60:O60"/>
    <mergeCell ref="A61:O61"/>
    <mergeCell ref="A63:O63"/>
    <mergeCell ref="A64:O64"/>
    <mergeCell ref="A65:O65"/>
  </mergeCells>
  <phoneticPr fontId="6"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O85"/>
  <sheetViews>
    <sheetView workbookViewId="0">
      <selection activeCell="B88" sqref="B88"/>
    </sheetView>
  </sheetViews>
  <sheetFormatPr baseColWidth="10" defaultColWidth="8.83203125" defaultRowHeight="15" x14ac:dyDescent="0.2"/>
  <cols>
    <col min="1" max="1" width="18" customWidth="1"/>
    <col min="2" max="2" width="49.6640625" customWidth="1"/>
    <col min="3" max="3" width="47.1640625" customWidth="1"/>
    <col min="4" max="4" width="22" customWidth="1"/>
    <col min="5" max="5" width="21.33203125" customWidth="1"/>
    <col min="6" max="6" width="30" customWidth="1"/>
    <col min="7" max="7" width="27.5" customWidth="1"/>
  </cols>
  <sheetData>
    <row r="1" spans="1:7" x14ac:dyDescent="0.2">
      <c r="A1" s="4" t="s">
        <v>147</v>
      </c>
      <c r="B1" s="4" t="s">
        <v>148</v>
      </c>
      <c r="C1" s="4" t="s">
        <v>149</v>
      </c>
      <c r="D1" s="4" t="s">
        <v>150</v>
      </c>
      <c r="E1" s="4" t="s">
        <v>151</v>
      </c>
      <c r="F1" s="4" t="s">
        <v>152</v>
      </c>
      <c r="G1" s="4" t="s">
        <v>16</v>
      </c>
    </row>
    <row r="2" spans="1:7" x14ac:dyDescent="0.2">
      <c r="A2" s="5" t="s">
        <v>153</v>
      </c>
      <c r="B2" s="5" t="s">
        <v>154</v>
      </c>
      <c r="C2" s="5" t="s">
        <v>155</v>
      </c>
      <c r="D2" s="5" t="s">
        <v>156</v>
      </c>
      <c r="E2" s="5" t="s">
        <v>157</v>
      </c>
      <c r="F2" s="5"/>
      <c r="G2" s="5"/>
    </row>
    <row r="3" spans="1:7" x14ac:dyDescent="0.2">
      <c r="A3" s="5" t="s">
        <v>153</v>
      </c>
      <c r="B3" s="5" t="s">
        <v>158</v>
      </c>
      <c r="C3" s="5" t="s">
        <v>159</v>
      </c>
      <c r="D3" s="5" t="s">
        <v>160</v>
      </c>
      <c r="E3" s="5" t="s">
        <v>157</v>
      </c>
      <c r="F3" s="5"/>
      <c r="G3" s="5"/>
    </row>
    <row r="4" spans="1:7" x14ac:dyDescent="0.2">
      <c r="A4" s="5" t="s">
        <v>153</v>
      </c>
      <c r="B4" s="5" t="s">
        <v>161</v>
      </c>
      <c r="C4" s="5" t="s">
        <v>162</v>
      </c>
      <c r="D4" s="5" t="s">
        <v>163</v>
      </c>
      <c r="E4" s="5" t="s">
        <v>157</v>
      </c>
      <c r="F4" s="5"/>
      <c r="G4" s="5"/>
    </row>
    <row r="5" spans="1:7" x14ac:dyDescent="0.2">
      <c r="A5" s="5" t="s">
        <v>164</v>
      </c>
      <c r="B5" s="5" t="s">
        <v>165</v>
      </c>
      <c r="C5" s="5" t="s">
        <v>166</v>
      </c>
      <c r="D5" s="5" t="s">
        <v>167</v>
      </c>
      <c r="E5" s="5" t="s">
        <v>168</v>
      </c>
      <c r="F5" s="5"/>
      <c r="G5" s="5"/>
    </row>
    <row r="6" spans="1:7" x14ac:dyDescent="0.2">
      <c r="A6" s="5" t="s">
        <v>164</v>
      </c>
      <c r="B6" s="5" t="s">
        <v>169</v>
      </c>
      <c r="C6" s="5" t="s">
        <v>170</v>
      </c>
      <c r="D6" s="5" t="s">
        <v>171</v>
      </c>
      <c r="E6" s="5" t="s">
        <v>168</v>
      </c>
      <c r="F6" s="5"/>
      <c r="G6" s="5"/>
    </row>
    <row r="7" spans="1:7" x14ac:dyDescent="0.2">
      <c r="A7" s="5" t="s">
        <v>172</v>
      </c>
      <c r="B7" s="5" t="s">
        <v>173</v>
      </c>
      <c r="C7" s="5" t="s">
        <v>174</v>
      </c>
      <c r="D7" s="5" t="s">
        <v>175</v>
      </c>
      <c r="E7" s="5" t="s">
        <v>176</v>
      </c>
      <c r="F7" s="5"/>
      <c r="G7" s="5"/>
    </row>
    <row r="8" spans="1:7" x14ac:dyDescent="0.2">
      <c r="A8" s="5" t="s">
        <v>172</v>
      </c>
      <c r="B8" s="5" t="s">
        <v>177</v>
      </c>
      <c r="C8" s="5" t="s">
        <v>178</v>
      </c>
      <c r="D8" s="5" t="s">
        <v>172</v>
      </c>
      <c r="E8" s="5" t="s">
        <v>179</v>
      </c>
      <c r="F8" s="5" t="s">
        <v>180</v>
      </c>
      <c r="G8" s="5"/>
    </row>
    <row r="9" spans="1:7" x14ac:dyDescent="0.2">
      <c r="A9" s="5"/>
      <c r="B9" s="5"/>
      <c r="C9" s="5"/>
      <c r="D9" s="5"/>
      <c r="E9" s="5"/>
      <c r="F9" s="5"/>
      <c r="G9" s="5"/>
    </row>
    <row r="10" spans="1:7" ht="28" x14ac:dyDescent="0.2">
      <c r="A10" s="5" t="s">
        <v>181</v>
      </c>
      <c r="B10" s="5"/>
      <c r="C10" s="5"/>
      <c r="D10" s="5"/>
      <c r="E10" s="5"/>
      <c r="F10" s="5"/>
      <c r="G10" s="5"/>
    </row>
    <row r="11" spans="1:7" x14ac:dyDescent="0.2">
      <c r="A11" s="5" t="s">
        <v>182</v>
      </c>
      <c r="B11" s="5" t="s">
        <v>183</v>
      </c>
      <c r="C11" s="5" t="s">
        <v>184</v>
      </c>
      <c r="D11" s="5"/>
      <c r="E11" s="5" t="s">
        <v>185</v>
      </c>
      <c r="F11" s="5" t="s">
        <v>186</v>
      </c>
      <c r="G11" s="5"/>
    </row>
    <row r="12" spans="1:7" x14ac:dyDescent="0.2">
      <c r="A12" s="5"/>
      <c r="B12" s="5"/>
      <c r="C12" s="5"/>
      <c r="D12" s="5"/>
      <c r="E12" s="5"/>
      <c r="F12" s="5"/>
      <c r="G12" s="5"/>
    </row>
    <row r="13" spans="1:7" x14ac:dyDescent="0.2">
      <c r="A13" s="5" t="s">
        <v>182</v>
      </c>
      <c r="B13" s="5" t="s">
        <v>187</v>
      </c>
      <c r="C13" s="5" t="s">
        <v>188</v>
      </c>
      <c r="D13" s="5"/>
      <c r="E13" s="5" t="s">
        <v>189</v>
      </c>
      <c r="F13" s="5" t="s">
        <v>190</v>
      </c>
      <c r="G13" s="5"/>
    </row>
    <row r="14" spans="1:7" x14ac:dyDescent="0.2">
      <c r="A14" s="5"/>
      <c r="B14" s="5"/>
      <c r="C14" s="5"/>
      <c r="D14" s="5"/>
      <c r="E14" s="5"/>
      <c r="F14" s="5"/>
      <c r="G14" s="5"/>
    </row>
    <row r="15" spans="1:7" x14ac:dyDescent="0.2">
      <c r="A15" s="5"/>
      <c r="B15" s="5"/>
      <c r="C15" s="5"/>
      <c r="D15" s="5"/>
      <c r="E15" s="5"/>
      <c r="F15" s="5"/>
      <c r="G15" s="5"/>
    </row>
    <row r="16" spans="1:7" x14ac:dyDescent="0.2">
      <c r="A16" s="5" t="s">
        <v>191</v>
      </c>
      <c r="B16" s="5" t="s">
        <v>192</v>
      </c>
      <c r="C16" s="5" t="s">
        <v>193</v>
      </c>
      <c r="D16" s="5"/>
      <c r="E16" s="5" t="s">
        <v>194</v>
      </c>
      <c r="F16" s="5" t="s">
        <v>195</v>
      </c>
      <c r="G16" s="5"/>
    </row>
    <row r="17" spans="1:7" x14ac:dyDescent="0.2">
      <c r="A17" s="5" t="s">
        <v>182</v>
      </c>
      <c r="B17" s="5" t="s">
        <v>196</v>
      </c>
      <c r="C17" s="5" t="s">
        <v>197</v>
      </c>
      <c r="D17" s="5"/>
      <c r="E17" s="5" t="s">
        <v>194</v>
      </c>
      <c r="F17" s="5" t="s">
        <v>32</v>
      </c>
      <c r="G17" s="5"/>
    </row>
    <row r="18" spans="1:7" x14ac:dyDescent="0.2">
      <c r="A18" t="s">
        <v>417</v>
      </c>
      <c r="B18" t="s">
        <v>418</v>
      </c>
      <c r="C18" t="s">
        <v>419</v>
      </c>
      <c r="D18" t="s">
        <v>421</v>
      </c>
    </row>
    <row r="19" spans="1:7" x14ac:dyDescent="0.2">
      <c r="A19" t="s">
        <v>423</v>
      </c>
      <c r="B19" t="s">
        <v>420</v>
      </c>
      <c r="C19" t="s">
        <v>422</v>
      </c>
      <c r="D19" t="s">
        <v>421</v>
      </c>
    </row>
    <row r="20" spans="1:7" x14ac:dyDescent="0.2">
      <c r="A20" t="s">
        <v>423</v>
      </c>
      <c r="B20" s="2" t="s">
        <v>425</v>
      </c>
      <c r="C20" t="s">
        <v>424</v>
      </c>
      <c r="D20" t="s">
        <v>421</v>
      </c>
    </row>
    <row r="21" spans="1:7" x14ac:dyDescent="0.2">
      <c r="A21" t="s">
        <v>423</v>
      </c>
    </row>
    <row r="28" spans="1:7" x14ac:dyDescent="0.2">
      <c r="A28" s="36" t="s">
        <v>629</v>
      </c>
      <c r="B28" s="36" t="s">
        <v>630</v>
      </c>
      <c r="C28" s="36" t="s">
        <v>631</v>
      </c>
      <c r="D28" s="36" t="s">
        <v>632</v>
      </c>
    </row>
    <row r="29" spans="1:7" x14ac:dyDescent="0.2">
      <c r="A29" s="9">
        <v>150</v>
      </c>
      <c r="B29" s="9">
        <v>19.600000000000001</v>
      </c>
      <c r="C29" s="9">
        <v>17.7</v>
      </c>
      <c r="D29" s="9">
        <v>15.3</v>
      </c>
    </row>
    <row r="30" spans="1:7" x14ac:dyDescent="0.2">
      <c r="A30" s="9">
        <v>300</v>
      </c>
      <c r="B30" s="9">
        <v>51</v>
      </c>
      <c r="C30" s="9">
        <v>46.6</v>
      </c>
      <c r="D30" s="9">
        <v>40.4</v>
      </c>
    </row>
    <row r="31" spans="1:7" x14ac:dyDescent="0.2">
      <c r="A31" s="9">
        <v>600</v>
      </c>
      <c r="B31" s="9">
        <v>102</v>
      </c>
      <c r="C31" s="9">
        <v>93.2</v>
      </c>
      <c r="D31" s="9">
        <v>80.8</v>
      </c>
    </row>
    <row r="32" spans="1:7" x14ac:dyDescent="0.2">
      <c r="A32" s="9">
        <v>900</v>
      </c>
      <c r="B32" s="9">
        <v>153</v>
      </c>
      <c r="C32" s="9">
        <v>139.80000000000001</v>
      </c>
      <c r="D32" s="9">
        <v>121.2</v>
      </c>
    </row>
    <row r="33" spans="1:4" x14ac:dyDescent="0.2">
      <c r="A33" s="9">
        <v>1500</v>
      </c>
      <c r="B33" s="9">
        <v>255</v>
      </c>
      <c r="C33" s="9">
        <v>233</v>
      </c>
      <c r="D33" s="9">
        <v>202</v>
      </c>
    </row>
    <row r="34" spans="1:4" x14ac:dyDescent="0.2">
      <c r="A34" s="9">
        <v>2500</v>
      </c>
      <c r="B34" s="9">
        <v>425</v>
      </c>
      <c r="C34" s="9">
        <v>388.3</v>
      </c>
      <c r="D34" s="9">
        <v>336.7</v>
      </c>
    </row>
    <row r="46" spans="1:4" x14ac:dyDescent="0.2">
      <c r="A46" s="37" t="s">
        <v>633</v>
      </c>
      <c r="B46" s="37" t="s">
        <v>630</v>
      </c>
    </row>
    <row r="47" spans="1:4" x14ac:dyDescent="0.2">
      <c r="A47" s="9" t="s">
        <v>634</v>
      </c>
      <c r="B47" s="9">
        <v>6</v>
      </c>
    </row>
    <row r="48" spans="1:4" x14ac:dyDescent="0.2">
      <c r="A48" s="9" t="s">
        <v>635</v>
      </c>
      <c r="B48" s="9">
        <v>10</v>
      </c>
    </row>
    <row r="49" spans="1:2" x14ac:dyDescent="0.2">
      <c r="A49" s="9" t="s">
        <v>636</v>
      </c>
      <c r="B49" s="9">
        <v>16</v>
      </c>
    </row>
    <row r="50" spans="1:2" x14ac:dyDescent="0.2">
      <c r="A50" s="9" t="s">
        <v>637</v>
      </c>
      <c r="B50" s="9">
        <v>25</v>
      </c>
    </row>
    <row r="51" spans="1:2" x14ac:dyDescent="0.2">
      <c r="A51" s="9" t="s">
        <v>638</v>
      </c>
      <c r="B51" s="9">
        <v>40</v>
      </c>
    </row>
    <row r="68" spans="1:3" x14ac:dyDescent="0.2">
      <c r="A68" s="119"/>
      <c r="B68" s="119"/>
      <c r="C68" s="120"/>
    </row>
    <row r="69" spans="1:3" x14ac:dyDescent="0.2">
      <c r="A69" s="114" t="s">
        <v>537</v>
      </c>
      <c r="B69" s="114"/>
      <c r="C69" s="114"/>
    </row>
    <row r="70" spans="1:3" x14ac:dyDescent="0.2">
      <c r="A70" s="112" t="s">
        <v>538</v>
      </c>
      <c r="B70" s="112"/>
      <c r="C70" s="112"/>
    </row>
    <row r="71" spans="1:3" x14ac:dyDescent="0.2">
      <c r="A71" s="112" t="s">
        <v>539</v>
      </c>
      <c r="B71" s="112"/>
      <c r="C71" s="112"/>
    </row>
    <row r="72" spans="1:3" x14ac:dyDescent="0.2">
      <c r="A72" s="112" t="s">
        <v>540</v>
      </c>
      <c r="B72" s="112"/>
      <c r="C72" s="112"/>
    </row>
    <row r="73" spans="1:3" x14ac:dyDescent="0.2">
      <c r="A73" s="112" t="s">
        <v>541</v>
      </c>
      <c r="B73" s="112"/>
      <c r="C73" s="112"/>
    </row>
    <row r="74" spans="1:3" x14ac:dyDescent="0.2">
      <c r="A74" s="112" t="s">
        <v>542</v>
      </c>
      <c r="B74" s="112"/>
      <c r="C74" s="112"/>
    </row>
    <row r="75" spans="1:3" x14ac:dyDescent="0.2">
      <c r="A75" s="112" t="s">
        <v>543</v>
      </c>
      <c r="B75" s="112"/>
      <c r="C75" s="112"/>
    </row>
    <row r="76" spans="1:3" x14ac:dyDescent="0.2">
      <c r="A76" s="112" t="s">
        <v>544</v>
      </c>
      <c r="B76" s="112"/>
      <c r="C76" s="112"/>
    </row>
    <row r="77" spans="1:3" x14ac:dyDescent="0.2">
      <c r="A77" s="112" t="s">
        <v>545</v>
      </c>
      <c r="B77" s="112"/>
      <c r="C77" s="112"/>
    </row>
    <row r="81" spans="1:15" x14ac:dyDescent="0.2">
      <c r="A81" s="113" t="s">
        <v>546</v>
      </c>
      <c r="B81" s="113"/>
      <c r="C81" s="110"/>
      <c r="D81" s="110"/>
      <c r="E81" s="110"/>
      <c r="F81" s="110"/>
      <c r="G81" s="110"/>
      <c r="H81" s="110"/>
      <c r="I81" s="110"/>
      <c r="J81" s="110"/>
      <c r="K81" s="110"/>
      <c r="L81" s="110"/>
      <c r="M81" s="110"/>
      <c r="N81" s="110"/>
      <c r="O81" s="110"/>
    </row>
    <row r="82" spans="1:15" x14ac:dyDescent="0.2">
      <c r="A82" s="111" t="s">
        <v>547</v>
      </c>
      <c r="B82" s="111"/>
      <c r="C82" s="110"/>
      <c r="D82" s="110"/>
      <c r="E82" s="110"/>
      <c r="F82" s="110"/>
      <c r="G82" s="110"/>
      <c r="H82" s="110"/>
      <c r="I82" s="110"/>
      <c r="J82" s="110"/>
      <c r="K82" s="110"/>
      <c r="L82" s="110"/>
      <c r="M82" s="110"/>
      <c r="N82" s="110"/>
      <c r="O82" s="110"/>
    </row>
    <row r="83" spans="1:15" x14ac:dyDescent="0.2">
      <c r="A83" s="111" t="s">
        <v>548</v>
      </c>
      <c r="B83" s="111"/>
      <c r="C83" s="110"/>
      <c r="D83" s="110"/>
      <c r="E83" s="110"/>
      <c r="F83" s="110"/>
      <c r="G83" s="110"/>
      <c r="H83" s="110"/>
      <c r="I83" s="110"/>
      <c r="J83" s="110"/>
      <c r="K83" s="110"/>
      <c r="L83" s="110"/>
      <c r="M83" s="110"/>
      <c r="N83" s="110"/>
      <c r="O83" s="110"/>
    </row>
    <row r="84" spans="1:15" x14ac:dyDescent="0.2">
      <c r="A84" s="111" t="s">
        <v>549</v>
      </c>
      <c r="B84" s="111"/>
      <c r="C84" s="110"/>
      <c r="D84" s="110"/>
      <c r="E84" s="110"/>
      <c r="F84" s="110"/>
      <c r="G84" s="110"/>
      <c r="H84" s="110"/>
      <c r="I84" s="110"/>
      <c r="J84" s="110"/>
      <c r="K84" s="110"/>
      <c r="L84" s="110"/>
      <c r="M84" s="110"/>
      <c r="N84" s="110"/>
      <c r="O84" s="110"/>
    </row>
    <row r="85" spans="1:15" x14ac:dyDescent="0.2">
      <c r="A85" s="111" t="s">
        <v>550</v>
      </c>
      <c r="B85" s="111"/>
      <c r="C85" s="110"/>
      <c r="D85" s="110"/>
      <c r="E85" s="110"/>
      <c r="F85" s="110"/>
      <c r="G85" s="110"/>
      <c r="H85" s="110"/>
      <c r="I85" s="110"/>
      <c r="J85" s="110"/>
      <c r="K85" s="110"/>
      <c r="L85" s="110"/>
      <c r="M85" s="110"/>
      <c r="N85" s="110"/>
      <c r="O85" s="110"/>
    </row>
  </sheetData>
  <mergeCells count="14">
    <mergeCell ref="A84:O84"/>
    <mergeCell ref="A85:O85"/>
    <mergeCell ref="A75:C75"/>
    <mergeCell ref="A76:C76"/>
    <mergeCell ref="A77:C77"/>
    <mergeCell ref="A81:O81"/>
    <mergeCell ref="A82:O82"/>
    <mergeCell ref="A83:O83"/>
    <mergeCell ref="A69:C69"/>
    <mergeCell ref="A70:C70"/>
    <mergeCell ref="A71:C71"/>
    <mergeCell ref="A72:C72"/>
    <mergeCell ref="A73:C73"/>
    <mergeCell ref="A74:C7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F1ACE-D66E-B640-B621-09BEFB525B45}">
  <sheetPr codeName="Sheet8"/>
  <dimension ref="A1:D64"/>
  <sheetViews>
    <sheetView zoomScale="167" zoomScaleNormal="100" workbookViewId="0">
      <pane ySplit="1" topLeftCell="A47" activePane="bottomLeft" state="frozen"/>
      <selection pane="bottomLeft" activeCell="D53" sqref="D53"/>
    </sheetView>
  </sheetViews>
  <sheetFormatPr baseColWidth="10" defaultColWidth="8.6640625" defaultRowHeight="15" x14ac:dyDescent="0.2"/>
  <cols>
    <col min="1" max="1" width="28" style="82" customWidth="1"/>
    <col min="2" max="3" width="16" style="82" customWidth="1"/>
    <col min="4" max="4" width="40" style="82" customWidth="1"/>
    <col min="5" max="16384" width="8.6640625" style="82"/>
  </cols>
  <sheetData>
    <row r="1" spans="1:4" x14ac:dyDescent="0.2">
      <c r="A1" s="115" t="s">
        <v>861</v>
      </c>
      <c r="B1" s="115"/>
      <c r="C1" s="115"/>
      <c r="D1" s="115"/>
    </row>
    <row r="2" spans="1:4" x14ac:dyDescent="0.2">
      <c r="A2" s="89" t="s">
        <v>8</v>
      </c>
      <c r="B2" s="89" t="s">
        <v>14</v>
      </c>
      <c r="C2" s="89" t="s">
        <v>860</v>
      </c>
      <c r="D2" s="89" t="s">
        <v>15</v>
      </c>
    </row>
    <row r="3" spans="1:4" x14ac:dyDescent="0.2">
      <c r="A3" s="85" t="s">
        <v>17</v>
      </c>
      <c r="B3" s="90" t="s">
        <v>214</v>
      </c>
      <c r="C3" s="83">
        <v>1</v>
      </c>
      <c r="D3" s="83" t="s">
        <v>221</v>
      </c>
    </row>
    <row r="4" spans="1:4" x14ac:dyDescent="0.2">
      <c r="A4" s="85" t="s">
        <v>223</v>
      </c>
      <c r="B4" s="88" t="s">
        <v>19</v>
      </c>
      <c r="C4" s="83">
        <v>2</v>
      </c>
      <c r="D4" s="83" t="s">
        <v>859</v>
      </c>
    </row>
    <row r="5" spans="1:4" x14ac:dyDescent="0.2">
      <c r="A5" s="85" t="s">
        <v>206</v>
      </c>
      <c r="B5" s="87" t="s">
        <v>23</v>
      </c>
      <c r="C5" s="83">
        <v>3</v>
      </c>
      <c r="D5" s="83" t="s">
        <v>221</v>
      </c>
    </row>
    <row r="6" spans="1:4" x14ac:dyDescent="0.2">
      <c r="A6" s="85" t="s">
        <v>21</v>
      </c>
      <c r="B6" s="87" t="s">
        <v>23</v>
      </c>
      <c r="C6" s="83">
        <v>3</v>
      </c>
      <c r="D6" s="83" t="s">
        <v>221</v>
      </c>
    </row>
    <row r="7" spans="1:4" x14ac:dyDescent="0.2">
      <c r="A7" s="85" t="s">
        <v>24</v>
      </c>
      <c r="B7" s="87" t="s">
        <v>23</v>
      </c>
      <c r="C7" s="83">
        <v>3</v>
      </c>
      <c r="D7" s="83" t="s">
        <v>221</v>
      </c>
    </row>
    <row r="8" spans="1:4" x14ac:dyDescent="0.2">
      <c r="A8" s="85" t="s">
        <v>92</v>
      </c>
      <c r="B8" s="87" t="s">
        <v>23</v>
      </c>
      <c r="C8" s="83">
        <v>3</v>
      </c>
      <c r="D8" s="83" t="s">
        <v>221</v>
      </c>
    </row>
    <row r="9" spans="1:4" x14ac:dyDescent="0.2">
      <c r="A9" s="85" t="s">
        <v>30</v>
      </c>
      <c r="B9" s="87" t="s">
        <v>23</v>
      </c>
      <c r="C9" s="83">
        <v>3</v>
      </c>
      <c r="D9" s="83" t="s">
        <v>221</v>
      </c>
    </row>
    <row r="10" spans="1:4" x14ac:dyDescent="0.2">
      <c r="A10" s="85" t="s">
        <v>31</v>
      </c>
      <c r="B10" s="87" t="s">
        <v>23</v>
      </c>
      <c r="C10" s="83">
        <v>3</v>
      </c>
      <c r="D10" s="83" t="s">
        <v>387</v>
      </c>
    </row>
    <row r="11" spans="1:4" x14ac:dyDescent="0.2">
      <c r="A11" s="85" t="s">
        <v>208</v>
      </c>
      <c r="B11" s="87" t="s">
        <v>23</v>
      </c>
      <c r="C11" s="83">
        <v>3</v>
      </c>
      <c r="D11" s="83" t="s">
        <v>390</v>
      </c>
    </row>
    <row r="12" spans="1:4" x14ac:dyDescent="0.2">
      <c r="A12" s="85" t="s">
        <v>207</v>
      </c>
      <c r="B12" s="88" t="s">
        <v>19</v>
      </c>
      <c r="C12" s="83">
        <v>2</v>
      </c>
      <c r="D12" s="83" t="s">
        <v>390</v>
      </c>
    </row>
    <row r="13" spans="1:4" x14ac:dyDescent="0.2">
      <c r="A13" s="85" t="s">
        <v>28</v>
      </c>
      <c r="B13" s="86" t="s">
        <v>29</v>
      </c>
      <c r="C13" s="83">
        <v>4</v>
      </c>
      <c r="D13" s="83" t="s">
        <v>221</v>
      </c>
    </row>
    <row r="14" spans="1:4" x14ac:dyDescent="0.2">
      <c r="A14" s="85" t="s">
        <v>25</v>
      </c>
      <c r="B14" s="84" t="s">
        <v>26</v>
      </c>
      <c r="C14" s="83">
        <v>5</v>
      </c>
      <c r="D14" s="83" t="s">
        <v>221</v>
      </c>
    </row>
    <row r="15" spans="1:4" x14ac:dyDescent="0.2">
      <c r="A15" s="85" t="s">
        <v>858</v>
      </c>
      <c r="B15" s="92" t="s">
        <v>215</v>
      </c>
      <c r="C15" s="83">
        <v>6</v>
      </c>
      <c r="D15" s="83" t="s">
        <v>221</v>
      </c>
    </row>
    <row r="17" spans="1:4" x14ac:dyDescent="0.2">
      <c r="A17" s="115" t="s">
        <v>857</v>
      </c>
      <c r="B17" s="115"/>
      <c r="C17" s="115"/>
      <c r="D17" s="115"/>
    </row>
    <row r="18" spans="1:4" x14ac:dyDescent="0.2">
      <c r="A18" s="89" t="s">
        <v>8</v>
      </c>
      <c r="B18" s="89" t="s">
        <v>14</v>
      </c>
      <c r="C18" s="89" t="s">
        <v>835</v>
      </c>
      <c r="D18" s="89" t="s">
        <v>15</v>
      </c>
    </row>
    <row r="19" spans="1:4" x14ac:dyDescent="0.2">
      <c r="A19" s="85" t="s">
        <v>39</v>
      </c>
      <c r="B19" s="88" t="s">
        <v>19</v>
      </c>
      <c r="C19" s="83">
        <v>1</v>
      </c>
      <c r="D19" s="83" t="s">
        <v>387</v>
      </c>
    </row>
    <row r="20" spans="1:4" x14ac:dyDescent="0.2">
      <c r="A20" s="85" t="s">
        <v>41</v>
      </c>
      <c r="B20" s="88" t="s">
        <v>19</v>
      </c>
      <c r="C20" s="83">
        <v>1</v>
      </c>
      <c r="D20" s="83" t="s">
        <v>387</v>
      </c>
    </row>
    <row r="21" spans="1:4" x14ac:dyDescent="0.2">
      <c r="A21" s="85" t="s">
        <v>204</v>
      </c>
      <c r="B21" s="88" t="s">
        <v>19</v>
      </c>
      <c r="C21" s="83">
        <v>1</v>
      </c>
      <c r="D21" s="83" t="s">
        <v>387</v>
      </c>
    </row>
    <row r="22" spans="1:4" x14ac:dyDescent="0.2">
      <c r="A22" s="85" t="s">
        <v>202</v>
      </c>
      <c r="B22" s="88" t="s">
        <v>19</v>
      </c>
      <c r="C22" s="83">
        <v>1</v>
      </c>
      <c r="D22" s="83" t="s">
        <v>387</v>
      </c>
    </row>
    <row r="23" spans="1:4" x14ac:dyDescent="0.2">
      <c r="A23" s="85" t="s">
        <v>856</v>
      </c>
      <c r="B23" s="87" t="s">
        <v>23</v>
      </c>
      <c r="C23" s="83">
        <v>2</v>
      </c>
      <c r="D23" s="83" t="s">
        <v>387</v>
      </c>
    </row>
    <row r="24" spans="1:4" x14ac:dyDescent="0.2">
      <c r="A24" s="85" t="s">
        <v>45</v>
      </c>
      <c r="B24" s="87" t="s">
        <v>23</v>
      </c>
      <c r="C24" s="83">
        <v>2</v>
      </c>
      <c r="D24" s="83" t="s">
        <v>855</v>
      </c>
    </row>
    <row r="25" spans="1:4" x14ac:dyDescent="0.2">
      <c r="A25" s="85" t="s">
        <v>205</v>
      </c>
      <c r="B25" s="87" t="s">
        <v>23</v>
      </c>
      <c r="C25" s="83">
        <v>2</v>
      </c>
      <c r="D25" s="83" t="s">
        <v>387</v>
      </c>
    </row>
    <row r="26" spans="1:4" x14ac:dyDescent="0.2">
      <c r="A26" s="85" t="s">
        <v>34</v>
      </c>
      <c r="B26" s="87" t="s">
        <v>23</v>
      </c>
      <c r="C26" s="83">
        <v>2</v>
      </c>
      <c r="D26" s="83" t="s">
        <v>854</v>
      </c>
    </row>
    <row r="27" spans="1:4" x14ac:dyDescent="0.2">
      <c r="A27" s="85" t="s">
        <v>203</v>
      </c>
      <c r="B27" s="87" t="s">
        <v>23</v>
      </c>
      <c r="C27" s="83">
        <v>2</v>
      </c>
      <c r="D27" s="83" t="s">
        <v>387</v>
      </c>
    </row>
    <row r="28" spans="1:4" x14ac:dyDescent="0.2">
      <c r="A28" s="85" t="s">
        <v>36</v>
      </c>
      <c r="B28" s="91" t="s">
        <v>38</v>
      </c>
      <c r="C28" s="83">
        <v>3</v>
      </c>
      <c r="D28" s="83" t="s">
        <v>854</v>
      </c>
    </row>
    <row r="29" spans="1:4" x14ac:dyDescent="0.2">
      <c r="A29" s="85" t="s">
        <v>853</v>
      </c>
      <c r="B29" s="86" t="s">
        <v>29</v>
      </c>
      <c r="C29" s="83">
        <v>4</v>
      </c>
      <c r="D29" s="83" t="s">
        <v>852</v>
      </c>
    </row>
    <row r="30" spans="1:4" x14ac:dyDescent="0.2">
      <c r="A30" s="85" t="s">
        <v>851</v>
      </c>
      <c r="B30" s="86" t="s">
        <v>29</v>
      </c>
      <c r="C30" s="83">
        <v>4</v>
      </c>
      <c r="D30" s="83" t="s">
        <v>387</v>
      </c>
    </row>
    <row r="31" spans="1:4" x14ac:dyDescent="0.2">
      <c r="A31" s="85" t="s">
        <v>44</v>
      </c>
      <c r="B31" s="86" t="s">
        <v>29</v>
      </c>
      <c r="C31" s="83">
        <v>4</v>
      </c>
      <c r="D31" s="83" t="s">
        <v>850</v>
      </c>
    </row>
    <row r="33" spans="1:4" x14ac:dyDescent="0.2">
      <c r="A33" s="115" t="s">
        <v>849</v>
      </c>
      <c r="B33" s="115"/>
      <c r="C33" s="115"/>
      <c r="D33" s="115"/>
    </row>
    <row r="34" spans="1:4" x14ac:dyDescent="0.2">
      <c r="A34" s="89" t="s">
        <v>848</v>
      </c>
      <c r="B34" s="89" t="s">
        <v>14</v>
      </c>
      <c r="C34" s="89" t="s">
        <v>835</v>
      </c>
      <c r="D34" s="89" t="s">
        <v>15</v>
      </c>
    </row>
    <row r="35" spans="1:4" x14ac:dyDescent="0.2">
      <c r="A35" s="85" t="s">
        <v>847</v>
      </c>
      <c r="B35" s="90" t="s">
        <v>214</v>
      </c>
      <c r="C35" s="83">
        <v>1</v>
      </c>
      <c r="D35" s="83" t="s">
        <v>221</v>
      </c>
    </row>
    <row r="36" spans="1:4" ht="16" customHeight="1" x14ac:dyDescent="0.2">
      <c r="A36" s="85" t="s">
        <v>846</v>
      </c>
      <c r="B36" s="90" t="s">
        <v>214</v>
      </c>
      <c r="C36" s="83">
        <v>1</v>
      </c>
      <c r="D36" s="83" t="s">
        <v>842</v>
      </c>
    </row>
    <row r="37" spans="1:4" x14ac:dyDescent="0.2">
      <c r="A37" s="85" t="s">
        <v>845</v>
      </c>
      <c r="B37" s="88" t="s">
        <v>19</v>
      </c>
      <c r="C37" s="83">
        <v>1</v>
      </c>
      <c r="D37" s="83" t="s">
        <v>842</v>
      </c>
    </row>
    <row r="38" spans="1:4" ht="18" customHeight="1" x14ac:dyDescent="0.2">
      <c r="A38" s="85" t="s">
        <v>844</v>
      </c>
      <c r="B38" s="88" t="s">
        <v>19</v>
      </c>
      <c r="C38" s="83">
        <v>1</v>
      </c>
      <c r="D38" s="83" t="s">
        <v>842</v>
      </c>
    </row>
    <row r="39" spans="1:4" ht="17" customHeight="1" x14ac:dyDescent="0.2">
      <c r="A39" s="85" t="s">
        <v>843</v>
      </c>
      <c r="B39" s="87" t="s">
        <v>23</v>
      </c>
      <c r="C39" s="83">
        <v>2</v>
      </c>
      <c r="D39" s="83" t="s">
        <v>842</v>
      </c>
    </row>
    <row r="40" spans="1:4" ht="16" customHeight="1" x14ac:dyDescent="0.2">
      <c r="A40" s="85" t="s">
        <v>841</v>
      </c>
      <c r="B40" s="87" t="s">
        <v>23</v>
      </c>
      <c r="C40" s="83">
        <v>3</v>
      </c>
      <c r="D40" s="83" t="s">
        <v>221</v>
      </c>
    </row>
    <row r="41" spans="1:4" ht="15" customHeight="1" x14ac:dyDescent="0.2">
      <c r="A41" s="85" t="s">
        <v>840</v>
      </c>
      <c r="B41" s="87" t="s">
        <v>23</v>
      </c>
      <c r="C41" s="83">
        <v>3</v>
      </c>
      <c r="D41" s="83" t="s">
        <v>221</v>
      </c>
    </row>
    <row r="42" spans="1:4" ht="15" customHeight="1" x14ac:dyDescent="0.2">
      <c r="A42" s="85" t="s">
        <v>839</v>
      </c>
      <c r="B42" s="87" t="s">
        <v>23</v>
      </c>
      <c r="C42" s="83">
        <v>3</v>
      </c>
      <c r="D42" s="83" t="s">
        <v>222</v>
      </c>
    </row>
    <row r="43" spans="1:4" ht="15" customHeight="1" x14ac:dyDescent="0.2">
      <c r="A43" s="85" t="s">
        <v>838</v>
      </c>
      <c r="B43" s="86" t="s">
        <v>29</v>
      </c>
      <c r="C43" s="83">
        <v>4</v>
      </c>
      <c r="D43" s="83" t="s">
        <v>222</v>
      </c>
    </row>
    <row r="45" spans="1:4" x14ac:dyDescent="0.2">
      <c r="A45" s="115" t="s">
        <v>837</v>
      </c>
      <c r="B45" s="115"/>
      <c r="C45" s="115"/>
      <c r="D45" s="115"/>
    </row>
    <row r="46" spans="1:4" x14ac:dyDescent="0.2">
      <c r="A46" s="89" t="s">
        <v>836</v>
      </c>
      <c r="B46" s="89" t="s">
        <v>14</v>
      </c>
      <c r="C46" s="89" t="s">
        <v>835</v>
      </c>
      <c r="D46" s="89" t="s">
        <v>834</v>
      </c>
    </row>
    <row r="47" spans="1:4" x14ac:dyDescent="0.2">
      <c r="A47" s="85" t="s">
        <v>833</v>
      </c>
      <c r="B47" s="88" t="s">
        <v>19</v>
      </c>
      <c r="C47" s="83">
        <v>1</v>
      </c>
      <c r="D47" s="83" t="s">
        <v>829</v>
      </c>
    </row>
    <row r="48" spans="1:4" x14ac:dyDescent="0.2">
      <c r="A48" s="85" t="s">
        <v>832</v>
      </c>
      <c r="B48" s="88" t="s">
        <v>19</v>
      </c>
      <c r="C48" s="83">
        <v>1</v>
      </c>
      <c r="D48" s="83" t="s">
        <v>829</v>
      </c>
    </row>
    <row r="49" spans="1:4" x14ac:dyDescent="0.2">
      <c r="A49" s="85" t="s">
        <v>831</v>
      </c>
      <c r="B49" s="88" t="s">
        <v>19</v>
      </c>
      <c r="C49" s="83">
        <v>1</v>
      </c>
      <c r="D49" s="83" t="s">
        <v>829</v>
      </c>
    </row>
    <row r="50" spans="1:4" x14ac:dyDescent="0.2">
      <c r="A50" s="85" t="s">
        <v>830</v>
      </c>
      <c r="B50" s="88" t="s">
        <v>19</v>
      </c>
      <c r="C50" s="83">
        <v>1</v>
      </c>
      <c r="D50" s="83" t="s">
        <v>829</v>
      </c>
    </row>
    <row r="51" spans="1:4" x14ac:dyDescent="0.2">
      <c r="A51" s="85" t="s">
        <v>828</v>
      </c>
      <c r="B51" s="87" t="s">
        <v>23</v>
      </c>
      <c r="C51" s="83">
        <v>2</v>
      </c>
      <c r="D51" s="83" t="s">
        <v>825</v>
      </c>
    </row>
    <row r="52" spans="1:4" x14ac:dyDescent="0.2">
      <c r="A52" s="85" t="s">
        <v>827</v>
      </c>
      <c r="B52" s="87" t="s">
        <v>23</v>
      </c>
      <c r="C52" s="83">
        <v>2</v>
      </c>
      <c r="D52" s="83" t="s">
        <v>825</v>
      </c>
    </row>
    <row r="53" spans="1:4" x14ac:dyDescent="0.2">
      <c r="A53" s="85" t="s">
        <v>826</v>
      </c>
      <c r="B53" s="87" t="s">
        <v>23</v>
      </c>
      <c r="C53" s="83">
        <v>2</v>
      </c>
      <c r="D53" s="83" t="s">
        <v>825</v>
      </c>
    </row>
    <row r="54" spans="1:4" x14ac:dyDescent="0.2">
      <c r="A54" s="85" t="s">
        <v>824</v>
      </c>
      <c r="B54" s="87" t="s">
        <v>23</v>
      </c>
      <c r="C54" s="83">
        <v>3</v>
      </c>
      <c r="D54" s="83" t="s">
        <v>823</v>
      </c>
    </row>
    <row r="55" spans="1:4" x14ac:dyDescent="0.2">
      <c r="A55" s="85" t="s">
        <v>822</v>
      </c>
      <c r="B55" s="87" t="s">
        <v>23</v>
      </c>
      <c r="C55" s="83">
        <v>3</v>
      </c>
      <c r="D55" s="83" t="s">
        <v>821</v>
      </c>
    </row>
    <row r="56" spans="1:4" x14ac:dyDescent="0.2">
      <c r="A56" s="85" t="s">
        <v>820</v>
      </c>
      <c r="B56" s="86" t="s">
        <v>29</v>
      </c>
      <c r="C56" s="83">
        <v>3</v>
      </c>
      <c r="D56" s="83" t="s">
        <v>813</v>
      </c>
    </row>
    <row r="57" spans="1:4" x14ac:dyDescent="0.2">
      <c r="A57" s="85" t="s">
        <v>819</v>
      </c>
      <c r="B57" s="86" t="s">
        <v>29</v>
      </c>
      <c r="C57" s="83">
        <v>3</v>
      </c>
      <c r="D57" s="83" t="s">
        <v>818</v>
      </c>
    </row>
    <row r="58" spans="1:4" x14ac:dyDescent="0.2">
      <c r="A58" s="85" t="s">
        <v>817</v>
      </c>
      <c r="B58" s="86" t="s">
        <v>29</v>
      </c>
      <c r="C58" s="83">
        <v>3</v>
      </c>
      <c r="D58" s="83" t="s">
        <v>813</v>
      </c>
    </row>
    <row r="59" spans="1:4" x14ac:dyDescent="0.2">
      <c r="A59" s="85" t="s">
        <v>816</v>
      </c>
      <c r="B59" s="86" t="s">
        <v>29</v>
      </c>
      <c r="C59" s="83">
        <v>3</v>
      </c>
      <c r="D59" s="83" t="s">
        <v>815</v>
      </c>
    </row>
    <row r="60" spans="1:4" x14ac:dyDescent="0.2">
      <c r="A60" s="85" t="s">
        <v>814</v>
      </c>
      <c r="B60" s="86" t="s">
        <v>29</v>
      </c>
      <c r="C60" s="83">
        <v>4</v>
      </c>
      <c r="D60" s="83" t="s">
        <v>813</v>
      </c>
    </row>
    <row r="61" spans="1:4" x14ac:dyDescent="0.2">
      <c r="A61" s="85" t="s">
        <v>812</v>
      </c>
      <c r="B61" s="86" t="s">
        <v>29</v>
      </c>
      <c r="C61" s="83">
        <v>4</v>
      </c>
      <c r="D61" s="83" t="s">
        <v>811</v>
      </c>
    </row>
    <row r="62" spans="1:4" x14ac:dyDescent="0.2">
      <c r="A62" s="85" t="s">
        <v>810</v>
      </c>
      <c r="B62" s="84" t="s">
        <v>26</v>
      </c>
      <c r="C62" s="83">
        <v>4</v>
      </c>
      <c r="D62" s="83" t="s">
        <v>809</v>
      </c>
    </row>
    <row r="63" spans="1:4" x14ac:dyDescent="0.2">
      <c r="A63" s="85" t="s">
        <v>808</v>
      </c>
      <c r="B63" s="84" t="s">
        <v>26</v>
      </c>
      <c r="C63" s="83">
        <v>4</v>
      </c>
      <c r="D63" s="83" t="s">
        <v>807</v>
      </c>
    </row>
    <row r="64" spans="1:4" x14ac:dyDescent="0.2">
      <c r="A64" s="85" t="s">
        <v>806</v>
      </c>
      <c r="B64" s="84" t="s">
        <v>26</v>
      </c>
      <c r="C64" s="83">
        <v>5</v>
      </c>
      <c r="D64" s="83" t="s">
        <v>805</v>
      </c>
    </row>
  </sheetData>
  <mergeCells count="4">
    <mergeCell ref="A1:D1"/>
    <mergeCell ref="A17:D17"/>
    <mergeCell ref="A33:D33"/>
    <mergeCell ref="A45:D4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95E71-2535-9F4F-AC16-E31B098C15A8}">
  <sheetPr codeName="Sheet9"/>
  <dimension ref="A1:F49"/>
  <sheetViews>
    <sheetView topLeftCell="A49" zoomScale="125" zoomScaleNormal="100" workbookViewId="0">
      <selection activeCell="K9" sqref="K9"/>
    </sheetView>
  </sheetViews>
  <sheetFormatPr baseColWidth="10" defaultColWidth="8.6640625" defaultRowHeight="15" x14ac:dyDescent="0.2"/>
  <cols>
    <col min="1" max="1" width="28" style="82" customWidth="1"/>
    <col min="2" max="2" width="18" style="82" customWidth="1"/>
    <col min="3" max="3" width="16" style="82" customWidth="1"/>
    <col min="4" max="5" width="18" style="82" customWidth="1"/>
    <col min="6" max="6" width="30" style="82" customWidth="1"/>
    <col min="7" max="16384" width="8.6640625" style="82"/>
  </cols>
  <sheetData>
    <row r="1" spans="1:6" x14ac:dyDescent="0.2">
      <c r="A1" s="115" t="s">
        <v>952</v>
      </c>
      <c r="B1" s="115"/>
      <c r="C1" s="115"/>
      <c r="D1" s="115"/>
      <c r="E1" s="115"/>
      <c r="F1" s="115"/>
    </row>
    <row r="2" spans="1:6" ht="39" x14ac:dyDescent="0.2">
      <c r="A2" s="89" t="s">
        <v>951</v>
      </c>
      <c r="B2" s="89" t="s">
        <v>950</v>
      </c>
      <c r="C2" s="89" t="s">
        <v>949</v>
      </c>
      <c r="D2" s="89" t="s">
        <v>948</v>
      </c>
      <c r="E2" s="89" t="s">
        <v>947</v>
      </c>
      <c r="F2" s="89" t="s">
        <v>15</v>
      </c>
    </row>
    <row r="3" spans="1:6" x14ac:dyDescent="0.2">
      <c r="A3" s="85" t="s">
        <v>946</v>
      </c>
      <c r="B3" s="83">
        <v>24</v>
      </c>
      <c r="C3" s="83" t="s">
        <v>941</v>
      </c>
      <c r="D3" s="83" t="s">
        <v>940</v>
      </c>
      <c r="E3" s="83">
        <v>48</v>
      </c>
      <c r="F3" s="83" t="s">
        <v>905</v>
      </c>
    </row>
    <row r="4" spans="1:6" x14ac:dyDescent="0.2">
      <c r="A4" s="85" t="s">
        <v>945</v>
      </c>
      <c r="B4" s="83">
        <v>24</v>
      </c>
      <c r="C4" s="83" t="s">
        <v>941</v>
      </c>
      <c r="D4" s="83" t="s">
        <v>940</v>
      </c>
      <c r="E4" s="83">
        <v>48</v>
      </c>
      <c r="F4" s="83" t="s">
        <v>905</v>
      </c>
    </row>
    <row r="5" spans="1:6" x14ac:dyDescent="0.2">
      <c r="A5" s="85" t="s">
        <v>535</v>
      </c>
      <c r="B5" s="83">
        <v>12</v>
      </c>
      <c r="C5" s="83" t="s">
        <v>941</v>
      </c>
      <c r="D5" s="83" t="s">
        <v>940</v>
      </c>
      <c r="E5" s="83">
        <v>24</v>
      </c>
      <c r="F5" s="83" t="s">
        <v>905</v>
      </c>
    </row>
    <row r="6" spans="1:6" x14ac:dyDescent="0.2">
      <c r="A6" s="85" t="s">
        <v>527</v>
      </c>
      <c r="B6" s="83">
        <v>12</v>
      </c>
      <c r="C6" s="83" t="s">
        <v>941</v>
      </c>
      <c r="D6" s="83" t="s">
        <v>940</v>
      </c>
      <c r="E6" s="83">
        <v>24</v>
      </c>
      <c r="F6" s="83" t="s">
        <v>905</v>
      </c>
    </row>
    <row r="7" spans="1:6" x14ac:dyDescent="0.2">
      <c r="A7" s="85" t="s">
        <v>944</v>
      </c>
      <c r="B7" s="83">
        <v>12</v>
      </c>
      <c r="C7" s="83" t="s">
        <v>941</v>
      </c>
      <c r="D7" s="93">
        <v>-0.5</v>
      </c>
      <c r="E7" s="83">
        <v>24</v>
      </c>
      <c r="F7" s="83" t="s">
        <v>905</v>
      </c>
    </row>
    <row r="8" spans="1:6" x14ac:dyDescent="0.2">
      <c r="A8" s="85" t="s">
        <v>943</v>
      </c>
      <c r="B8" s="83">
        <v>6</v>
      </c>
      <c r="C8" s="83" t="s">
        <v>938</v>
      </c>
      <c r="D8" s="83" t="s">
        <v>937</v>
      </c>
      <c r="E8" s="83">
        <v>9</v>
      </c>
      <c r="F8" s="83" t="s">
        <v>905</v>
      </c>
    </row>
    <row r="9" spans="1:6" x14ac:dyDescent="0.2">
      <c r="A9" s="85" t="s">
        <v>518</v>
      </c>
      <c r="B9" s="83">
        <v>6</v>
      </c>
      <c r="C9" s="83" t="s">
        <v>938</v>
      </c>
      <c r="D9" s="83" t="s">
        <v>937</v>
      </c>
      <c r="E9" s="83">
        <v>9</v>
      </c>
      <c r="F9" s="83" t="s">
        <v>942</v>
      </c>
    </row>
    <row r="10" spans="1:6" x14ac:dyDescent="0.2">
      <c r="A10" s="85" t="s">
        <v>522</v>
      </c>
      <c r="B10" s="83">
        <v>12</v>
      </c>
      <c r="C10" s="83" t="s">
        <v>941</v>
      </c>
      <c r="D10" s="83" t="s">
        <v>940</v>
      </c>
      <c r="E10" s="83">
        <v>24</v>
      </c>
      <c r="F10" s="83" t="s">
        <v>905</v>
      </c>
    </row>
    <row r="11" spans="1:6" x14ac:dyDescent="0.2">
      <c r="A11" s="85" t="s">
        <v>491</v>
      </c>
      <c r="B11" s="83">
        <v>12</v>
      </c>
      <c r="C11" s="83" t="s">
        <v>941</v>
      </c>
      <c r="D11" s="83" t="s">
        <v>940</v>
      </c>
      <c r="E11" s="83">
        <v>24</v>
      </c>
      <c r="F11" s="83" t="s">
        <v>905</v>
      </c>
    </row>
    <row r="12" spans="1:6" x14ac:dyDescent="0.2">
      <c r="A12" s="85" t="s">
        <v>939</v>
      </c>
      <c r="B12" s="83">
        <v>6</v>
      </c>
      <c r="C12" s="83" t="s">
        <v>938</v>
      </c>
      <c r="D12" s="83" t="s">
        <v>937</v>
      </c>
      <c r="E12" s="83">
        <v>9</v>
      </c>
      <c r="F12" s="83" t="s">
        <v>905</v>
      </c>
    </row>
    <row r="15" spans="1:6" x14ac:dyDescent="0.2">
      <c r="A15" s="115" t="s">
        <v>936</v>
      </c>
      <c r="B15" s="115"/>
      <c r="C15" s="115"/>
      <c r="D15" s="115"/>
      <c r="E15" s="115"/>
      <c r="F15" s="115"/>
    </row>
    <row r="16" spans="1:6" ht="26" x14ac:dyDescent="0.2">
      <c r="A16" s="89" t="s">
        <v>935</v>
      </c>
      <c r="B16" s="89" t="s">
        <v>934</v>
      </c>
      <c r="C16" s="89" t="s">
        <v>933</v>
      </c>
      <c r="D16" s="89" t="s">
        <v>932</v>
      </c>
      <c r="E16" s="89" t="s">
        <v>522</v>
      </c>
      <c r="F16" s="89" t="s">
        <v>15</v>
      </c>
    </row>
    <row r="17" spans="1:6" x14ac:dyDescent="0.2">
      <c r="A17" s="85" t="s">
        <v>931</v>
      </c>
      <c r="B17" s="83" t="s">
        <v>911</v>
      </c>
      <c r="C17" s="83" t="s">
        <v>908</v>
      </c>
      <c r="D17" s="83" t="s">
        <v>907</v>
      </c>
      <c r="E17" s="83" t="s">
        <v>916</v>
      </c>
      <c r="F17" s="83" t="s">
        <v>905</v>
      </c>
    </row>
    <row r="18" spans="1:6" x14ac:dyDescent="0.2">
      <c r="A18" s="85" t="s">
        <v>930</v>
      </c>
      <c r="B18" s="83" t="s">
        <v>911</v>
      </c>
      <c r="C18" s="83" t="s">
        <v>906</v>
      </c>
      <c r="D18" s="83" t="s">
        <v>915</v>
      </c>
      <c r="E18" s="83" t="s">
        <v>929</v>
      </c>
      <c r="F18" s="83" t="s">
        <v>905</v>
      </c>
    </row>
    <row r="19" spans="1:6" x14ac:dyDescent="0.2">
      <c r="A19" s="85" t="s">
        <v>928</v>
      </c>
      <c r="B19" s="83" t="s">
        <v>351</v>
      </c>
      <c r="C19" s="83" t="s">
        <v>351</v>
      </c>
      <c r="D19" s="83" t="s">
        <v>915</v>
      </c>
      <c r="E19" s="83" t="s">
        <v>351</v>
      </c>
      <c r="F19" s="83" t="s">
        <v>927</v>
      </c>
    </row>
    <row r="20" spans="1:6" x14ac:dyDescent="0.2">
      <c r="A20" s="85" t="s">
        <v>926</v>
      </c>
      <c r="B20" s="83" t="s">
        <v>351</v>
      </c>
      <c r="C20" s="83" t="s">
        <v>911</v>
      </c>
      <c r="D20" s="83" t="s">
        <v>908</v>
      </c>
      <c r="E20" s="83" t="s">
        <v>351</v>
      </c>
      <c r="F20" s="83" t="s">
        <v>925</v>
      </c>
    </row>
    <row r="21" spans="1:6" x14ac:dyDescent="0.2">
      <c r="A21" s="85" t="s">
        <v>924</v>
      </c>
      <c r="B21" s="83" t="s">
        <v>351</v>
      </c>
      <c r="C21" s="83" t="s">
        <v>351</v>
      </c>
      <c r="D21" s="83" t="s">
        <v>351</v>
      </c>
      <c r="E21" s="83" t="s">
        <v>906</v>
      </c>
      <c r="F21" s="83" t="s">
        <v>923</v>
      </c>
    </row>
    <row r="22" spans="1:6" x14ac:dyDescent="0.2">
      <c r="A22" s="85" t="s">
        <v>922</v>
      </c>
      <c r="B22" s="83" t="s">
        <v>911</v>
      </c>
      <c r="C22" s="83" t="s">
        <v>351</v>
      </c>
      <c r="D22" s="83" t="s">
        <v>351</v>
      </c>
      <c r="E22" s="83" t="s">
        <v>351</v>
      </c>
      <c r="F22" s="83" t="s">
        <v>905</v>
      </c>
    </row>
    <row r="23" spans="1:6" x14ac:dyDescent="0.2">
      <c r="A23" s="85" t="s">
        <v>921</v>
      </c>
      <c r="B23" s="83" t="s">
        <v>913</v>
      </c>
      <c r="C23" s="83" t="s">
        <v>911</v>
      </c>
      <c r="D23" s="83" t="s">
        <v>351</v>
      </c>
      <c r="E23" s="83" t="s">
        <v>351</v>
      </c>
      <c r="F23" s="83" t="s">
        <v>905</v>
      </c>
    </row>
    <row r="24" spans="1:6" x14ac:dyDescent="0.2">
      <c r="A24" s="85" t="s">
        <v>920</v>
      </c>
      <c r="B24" s="83" t="s">
        <v>913</v>
      </c>
      <c r="C24" s="83" t="s">
        <v>913</v>
      </c>
      <c r="D24" s="83" t="s">
        <v>908</v>
      </c>
      <c r="E24" s="83" t="s">
        <v>913</v>
      </c>
      <c r="F24" s="83" t="s">
        <v>905</v>
      </c>
    </row>
    <row r="25" spans="1:6" x14ac:dyDescent="0.2">
      <c r="A25" s="85" t="s">
        <v>919</v>
      </c>
      <c r="B25" s="83" t="s">
        <v>913</v>
      </c>
      <c r="C25" s="83" t="s">
        <v>351</v>
      </c>
      <c r="D25" s="83" t="s">
        <v>351</v>
      </c>
      <c r="E25" s="83" t="s">
        <v>911</v>
      </c>
      <c r="F25" s="83" t="s">
        <v>905</v>
      </c>
    </row>
    <row r="26" spans="1:6" x14ac:dyDescent="0.2">
      <c r="A26" s="85" t="s">
        <v>918</v>
      </c>
      <c r="B26" s="83" t="s">
        <v>351</v>
      </c>
      <c r="C26" s="83" t="s">
        <v>351</v>
      </c>
      <c r="D26" s="83" t="s">
        <v>915</v>
      </c>
      <c r="E26" s="83" t="s">
        <v>351</v>
      </c>
      <c r="F26" s="83" t="s">
        <v>859</v>
      </c>
    </row>
    <row r="27" spans="1:6" x14ac:dyDescent="0.2">
      <c r="A27" s="85" t="s">
        <v>917</v>
      </c>
      <c r="B27" s="83" t="s">
        <v>911</v>
      </c>
      <c r="C27" s="83" t="s">
        <v>908</v>
      </c>
      <c r="D27" s="83" t="s">
        <v>906</v>
      </c>
      <c r="E27" s="83" t="s">
        <v>916</v>
      </c>
      <c r="F27" s="83" t="s">
        <v>905</v>
      </c>
    </row>
    <row r="28" spans="1:6" x14ac:dyDescent="0.2">
      <c r="A28" s="85" t="s">
        <v>845</v>
      </c>
      <c r="B28" s="83" t="s">
        <v>907</v>
      </c>
      <c r="C28" s="83" t="s">
        <v>915</v>
      </c>
      <c r="D28" s="83" t="s">
        <v>915</v>
      </c>
      <c r="E28" s="83" t="s">
        <v>907</v>
      </c>
      <c r="F28" s="83" t="s">
        <v>905</v>
      </c>
    </row>
    <row r="29" spans="1:6" x14ac:dyDescent="0.2">
      <c r="A29" s="85" t="s">
        <v>846</v>
      </c>
      <c r="B29" s="83" t="s">
        <v>907</v>
      </c>
      <c r="C29" s="83" t="s">
        <v>351</v>
      </c>
      <c r="D29" s="83" t="s">
        <v>351</v>
      </c>
      <c r="E29" s="83" t="s">
        <v>915</v>
      </c>
      <c r="F29" s="83" t="s">
        <v>905</v>
      </c>
    </row>
    <row r="30" spans="1:6" x14ac:dyDescent="0.2">
      <c r="A30" s="85" t="s">
        <v>914</v>
      </c>
      <c r="B30" s="83" t="s">
        <v>913</v>
      </c>
      <c r="C30" s="83" t="s">
        <v>913</v>
      </c>
      <c r="D30" s="83" t="s">
        <v>913</v>
      </c>
      <c r="E30" s="83" t="s">
        <v>913</v>
      </c>
      <c r="F30" s="83" t="s">
        <v>910</v>
      </c>
    </row>
    <row r="31" spans="1:6" x14ac:dyDescent="0.2">
      <c r="A31" s="85" t="s">
        <v>912</v>
      </c>
      <c r="B31" s="83" t="s">
        <v>911</v>
      </c>
      <c r="C31" s="83" t="s">
        <v>911</v>
      </c>
      <c r="D31" s="83" t="s">
        <v>911</v>
      </c>
      <c r="E31" s="83" t="s">
        <v>911</v>
      </c>
      <c r="F31" s="83" t="s">
        <v>910</v>
      </c>
    </row>
    <row r="32" spans="1:6" x14ac:dyDescent="0.2">
      <c r="A32" s="85" t="s">
        <v>909</v>
      </c>
      <c r="B32" s="83" t="s">
        <v>908</v>
      </c>
      <c r="C32" s="83" t="s">
        <v>906</v>
      </c>
      <c r="D32" s="83" t="s">
        <v>907</v>
      </c>
      <c r="E32" s="83" t="s">
        <v>906</v>
      </c>
      <c r="F32" s="83" t="s">
        <v>905</v>
      </c>
    </row>
    <row r="35" spans="1:6" x14ac:dyDescent="0.2">
      <c r="A35" s="115" t="s">
        <v>904</v>
      </c>
      <c r="B35" s="115"/>
      <c r="C35" s="115"/>
      <c r="D35" s="115"/>
      <c r="E35" s="115"/>
      <c r="F35" s="115"/>
    </row>
    <row r="36" spans="1:6" ht="26" x14ac:dyDescent="0.2">
      <c r="A36" s="89" t="s">
        <v>836</v>
      </c>
      <c r="B36" s="89" t="s">
        <v>60</v>
      </c>
      <c r="C36" s="89" t="s">
        <v>903</v>
      </c>
      <c r="D36" s="89" t="s">
        <v>902</v>
      </c>
      <c r="E36" s="89" t="s">
        <v>901</v>
      </c>
      <c r="F36" s="89" t="s">
        <v>15</v>
      </c>
    </row>
    <row r="37" spans="1:6" ht="26" x14ac:dyDescent="0.2">
      <c r="A37" s="85" t="s">
        <v>900</v>
      </c>
      <c r="B37" s="83" t="s">
        <v>898</v>
      </c>
      <c r="C37" s="83" t="s">
        <v>883</v>
      </c>
      <c r="D37" s="83" t="s">
        <v>882</v>
      </c>
      <c r="E37" s="90" t="s">
        <v>214</v>
      </c>
      <c r="F37" s="83" t="s">
        <v>404</v>
      </c>
    </row>
    <row r="38" spans="1:6" ht="26" x14ac:dyDescent="0.2">
      <c r="A38" s="85" t="s">
        <v>899</v>
      </c>
      <c r="B38" s="83" t="s">
        <v>898</v>
      </c>
      <c r="C38" s="83" t="s">
        <v>883</v>
      </c>
      <c r="D38" s="83" t="s">
        <v>882</v>
      </c>
      <c r="E38" s="90" t="s">
        <v>214</v>
      </c>
      <c r="F38" s="83" t="s">
        <v>405</v>
      </c>
    </row>
    <row r="39" spans="1:6" ht="26" x14ac:dyDescent="0.2">
      <c r="A39" s="85" t="s">
        <v>897</v>
      </c>
      <c r="B39" s="83" t="s">
        <v>895</v>
      </c>
      <c r="C39" s="83" t="s">
        <v>883</v>
      </c>
      <c r="D39" s="83" t="s">
        <v>882</v>
      </c>
      <c r="E39" s="90" t="s">
        <v>214</v>
      </c>
      <c r="F39" s="83" t="s">
        <v>404</v>
      </c>
    </row>
    <row r="40" spans="1:6" ht="26" x14ac:dyDescent="0.2">
      <c r="A40" s="85" t="s">
        <v>896</v>
      </c>
      <c r="B40" s="83" t="s">
        <v>895</v>
      </c>
      <c r="C40" s="83" t="s">
        <v>883</v>
      </c>
      <c r="D40" s="83" t="s">
        <v>882</v>
      </c>
      <c r="E40" s="90" t="s">
        <v>214</v>
      </c>
      <c r="F40" s="83" t="s">
        <v>894</v>
      </c>
    </row>
    <row r="41" spans="1:6" x14ac:dyDescent="0.2">
      <c r="A41" s="85" t="s">
        <v>893</v>
      </c>
      <c r="B41" s="83" t="s">
        <v>888</v>
      </c>
      <c r="C41" s="83" t="s">
        <v>891</v>
      </c>
      <c r="D41" s="83" t="s">
        <v>890</v>
      </c>
      <c r="E41" s="90" t="s">
        <v>214</v>
      </c>
      <c r="F41" s="83" t="s">
        <v>399</v>
      </c>
    </row>
    <row r="42" spans="1:6" x14ac:dyDescent="0.2">
      <c r="A42" s="85" t="s">
        <v>892</v>
      </c>
      <c r="B42" s="83" t="s">
        <v>888</v>
      </c>
      <c r="C42" s="83" t="s">
        <v>891</v>
      </c>
      <c r="D42" s="83" t="s">
        <v>890</v>
      </c>
      <c r="E42" s="90" t="s">
        <v>214</v>
      </c>
      <c r="F42" s="83" t="s">
        <v>399</v>
      </c>
    </row>
    <row r="43" spans="1:6" x14ac:dyDescent="0.2">
      <c r="A43" s="85" t="s">
        <v>889</v>
      </c>
      <c r="B43" s="83" t="s">
        <v>888</v>
      </c>
      <c r="C43" s="83" t="s">
        <v>887</v>
      </c>
      <c r="D43" s="83" t="s">
        <v>886</v>
      </c>
      <c r="E43" s="90" t="s">
        <v>214</v>
      </c>
      <c r="F43" s="83" t="s">
        <v>885</v>
      </c>
    </row>
    <row r="44" spans="1:6" ht="26" x14ac:dyDescent="0.2">
      <c r="A44" s="85" t="s">
        <v>884</v>
      </c>
      <c r="B44" s="83" t="s">
        <v>880</v>
      </c>
      <c r="C44" s="83" t="s">
        <v>883</v>
      </c>
      <c r="D44" s="83" t="s">
        <v>882</v>
      </c>
      <c r="E44" s="90" t="s">
        <v>214</v>
      </c>
      <c r="F44" s="83" t="s">
        <v>403</v>
      </c>
    </row>
    <row r="45" spans="1:6" ht="26" x14ac:dyDescent="0.2">
      <c r="A45" s="85" t="s">
        <v>881</v>
      </c>
      <c r="B45" s="83" t="s">
        <v>880</v>
      </c>
      <c r="C45" s="83" t="s">
        <v>879</v>
      </c>
      <c r="D45" s="83" t="s">
        <v>878</v>
      </c>
      <c r="E45" s="90" t="s">
        <v>214</v>
      </c>
      <c r="F45" s="83" t="s">
        <v>287</v>
      </c>
    </row>
    <row r="46" spans="1:6" x14ac:dyDescent="0.2">
      <c r="A46" s="85" t="s">
        <v>877</v>
      </c>
      <c r="B46" s="83" t="s">
        <v>876</v>
      </c>
      <c r="C46" s="83" t="s">
        <v>875</v>
      </c>
      <c r="D46" s="83" t="s">
        <v>874</v>
      </c>
      <c r="E46" s="90" t="s">
        <v>214</v>
      </c>
      <c r="F46" s="83" t="s">
        <v>873</v>
      </c>
    </row>
    <row r="47" spans="1:6" ht="26" x14ac:dyDescent="0.2">
      <c r="A47" s="85" t="s">
        <v>872</v>
      </c>
      <c r="B47" s="83" t="s">
        <v>865</v>
      </c>
      <c r="C47" s="83" t="s">
        <v>871</v>
      </c>
      <c r="D47" s="83" t="s">
        <v>870</v>
      </c>
      <c r="E47" s="90" t="s">
        <v>214</v>
      </c>
      <c r="F47" s="83" t="s">
        <v>869</v>
      </c>
    </row>
    <row r="48" spans="1:6" ht="26" x14ac:dyDescent="0.2">
      <c r="A48" s="85" t="s">
        <v>868</v>
      </c>
      <c r="B48" s="83" t="s">
        <v>865</v>
      </c>
      <c r="C48" s="83" t="s">
        <v>864</v>
      </c>
      <c r="D48" s="83" t="s">
        <v>863</v>
      </c>
      <c r="E48" s="90" t="s">
        <v>214</v>
      </c>
      <c r="F48" s="83" t="s">
        <v>867</v>
      </c>
    </row>
    <row r="49" spans="1:6" ht="26" x14ac:dyDescent="0.2">
      <c r="A49" s="85" t="s">
        <v>866</v>
      </c>
      <c r="B49" s="83" t="s">
        <v>865</v>
      </c>
      <c r="C49" s="83" t="s">
        <v>864</v>
      </c>
      <c r="D49" s="83" t="s">
        <v>863</v>
      </c>
      <c r="E49" s="90" t="s">
        <v>214</v>
      </c>
      <c r="F49" s="83" t="s">
        <v>862</v>
      </c>
    </row>
  </sheetData>
  <mergeCells count="3">
    <mergeCell ref="A1:F1"/>
    <mergeCell ref="A15:F15"/>
    <mergeCell ref="A35:F3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E49FE-B134-1F47-A7E0-69752668CBF9}">
  <sheetPr codeName="Sheet10"/>
  <dimension ref="A1:H30"/>
  <sheetViews>
    <sheetView topLeftCell="A9" zoomScale="156" zoomScaleNormal="100" workbookViewId="0">
      <selection activeCell="A30" sqref="A30:H30"/>
    </sheetView>
  </sheetViews>
  <sheetFormatPr baseColWidth="10" defaultColWidth="8.6640625" defaultRowHeight="15" x14ac:dyDescent="0.2"/>
  <cols>
    <col min="1" max="1" width="30" style="82" customWidth="1"/>
    <col min="2" max="2" width="20" style="82" customWidth="1"/>
    <col min="3" max="8" width="18" style="82" customWidth="1"/>
    <col min="9" max="16384" width="8.6640625" style="82"/>
  </cols>
  <sheetData>
    <row r="1" spans="1:8" x14ac:dyDescent="0.2">
      <c r="A1" s="115" t="s">
        <v>1028</v>
      </c>
      <c r="B1" s="115"/>
      <c r="C1" s="115"/>
      <c r="D1" s="115"/>
      <c r="E1" s="115"/>
      <c r="F1" s="115"/>
      <c r="G1" s="115"/>
      <c r="H1" s="115"/>
    </row>
    <row r="2" spans="1:8" ht="26" x14ac:dyDescent="0.2">
      <c r="A2" s="89" t="s">
        <v>1027</v>
      </c>
      <c r="B2" s="89" t="s">
        <v>1026</v>
      </c>
      <c r="C2" s="89" t="s">
        <v>1025</v>
      </c>
      <c r="D2" s="89" t="s">
        <v>1024</v>
      </c>
      <c r="E2" s="89" t="s">
        <v>1023</v>
      </c>
      <c r="F2" s="89" t="s">
        <v>1022</v>
      </c>
      <c r="G2" s="89" t="s">
        <v>1021</v>
      </c>
      <c r="H2" s="89" t="s">
        <v>1020</v>
      </c>
    </row>
    <row r="3" spans="1:8" x14ac:dyDescent="0.2">
      <c r="A3" s="85" t="s">
        <v>1019</v>
      </c>
      <c r="B3" s="83" t="s">
        <v>348</v>
      </c>
      <c r="C3" s="83" t="s">
        <v>1018</v>
      </c>
      <c r="D3" s="83" t="s">
        <v>1015</v>
      </c>
      <c r="E3" s="83" t="s">
        <v>971</v>
      </c>
      <c r="F3" s="83" t="s">
        <v>970</v>
      </c>
      <c r="G3" s="83" t="s">
        <v>969</v>
      </c>
      <c r="H3" s="95">
        <f t="shared" ref="H3:H14" si="0">SUM(C3:G3)</f>
        <v>0</v>
      </c>
    </row>
    <row r="4" spans="1:8" x14ac:dyDescent="0.2">
      <c r="A4" s="85" t="s">
        <v>1017</v>
      </c>
      <c r="B4" s="83" t="s">
        <v>348</v>
      </c>
      <c r="C4" s="83" t="s">
        <v>1016</v>
      </c>
      <c r="D4" s="83" t="s">
        <v>1015</v>
      </c>
      <c r="E4" s="83" t="s">
        <v>1014</v>
      </c>
      <c r="F4" s="83" t="s">
        <v>970</v>
      </c>
      <c r="G4" s="83" t="s">
        <v>969</v>
      </c>
      <c r="H4" s="95">
        <f t="shared" si="0"/>
        <v>0</v>
      </c>
    </row>
    <row r="5" spans="1:8" x14ac:dyDescent="0.2">
      <c r="A5" s="85" t="s">
        <v>1013</v>
      </c>
      <c r="B5" s="83" t="s">
        <v>1011</v>
      </c>
      <c r="C5" s="83" t="s">
        <v>999</v>
      </c>
      <c r="D5" s="83" t="s">
        <v>983</v>
      </c>
      <c r="E5" s="83" t="s">
        <v>977</v>
      </c>
      <c r="F5" s="83" t="s">
        <v>982</v>
      </c>
      <c r="G5" s="83" t="s">
        <v>976</v>
      </c>
      <c r="H5" s="95">
        <f t="shared" si="0"/>
        <v>0</v>
      </c>
    </row>
    <row r="6" spans="1:8" x14ac:dyDescent="0.2">
      <c r="A6" s="85" t="s">
        <v>1012</v>
      </c>
      <c r="B6" s="83" t="s">
        <v>1011</v>
      </c>
      <c r="C6" s="83" t="s">
        <v>996</v>
      </c>
      <c r="D6" s="83" t="s">
        <v>983</v>
      </c>
      <c r="E6" s="83" t="s">
        <v>1010</v>
      </c>
      <c r="F6" s="83" t="s">
        <v>982</v>
      </c>
      <c r="G6" s="83" t="s">
        <v>976</v>
      </c>
      <c r="H6" s="95">
        <f t="shared" si="0"/>
        <v>0</v>
      </c>
    </row>
    <row r="7" spans="1:8" ht="26" x14ac:dyDescent="0.2">
      <c r="A7" s="85" t="s">
        <v>1009</v>
      </c>
      <c r="B7" s="83" t="s">
        <v>518</v>
      </c>
      <c r="C7" s="83" t="s">
        <v>1008</v>
      </c>
      <c r="D7" s="83" t="s">
        <v>1007</v>
      </c>
      <c r="E7" s="83" t="s">
        <v>1006</v>
      </c>
      <c r="F7" s="83" t="s">
        <v>1002</v>
      </c>
      <c r="G7" s="83" t="s">
        <v>1001</v>
      </c>
      <c r="H7" s="95">
        <f t="shared" si="0"/>
        <v>0</v>
      </c>
    </row>
    <row r="8" spans="1:8" ht="26" x14ac:dyDescent="0.2">
      <c r="A8" s="85" t="s">
        <v>1005</v>
      </c>
      <c r="B8" s="83" t="s">
        <v>518</v>
      </c>
      <c r="C8" s="83" t="s">
        <v>1004</v>
      </c>
      <c r="D8" s="83" t="s">
        <v>978</v>
      </c>
      <c r="E8" s="83" t="s">
        <v>1003</v>
      </c>
      <c r="F8" s="83" t="s">
        <v>1002</v>
      </c>
      <c r="G8" s="83" t="s">
        <v>1001</v>
      </c>
      <c r="H8" s="95">
        <f t="shared" si="0"/>
        <v>0</v>
      </c>
    </row>
    <row r="9" spans="1:8" x14ac:dyDescent="0.2">
      <c r="A9" s="85" t="s">
        <v>1000</v>
      </c>
      <c r="B9" s="83" t="s">
        <v>522</v>
      </c>
      <c r="C9" s="83" t="s">
        <v>999</v>
      </c>
      <c r="D9" s="83" t="s">
        <v>998</v>
      </c>
      <c r="E9" s="83" t="s">
        <v>977</v>
      </c>
      <c r="F9" s="83" t="s">
        <v>993</v>
      </c>
      <c r="G9" s="83" t="s">
        <v>969</v>
      </c>
      <c r="H9" s="95">
        <f t="shared" si="0"/>
        <v>0</v>
      </c>
    </row>
    <row r="10" spans="1:8" x14ac:dyDescent="0.2">
      <c r="A10" s="85" t="s">
        <v>997</v>
      </c>
      <c r="B10" s="83" t="s">
        <v>522</v>
      </c>
      <c r="C10" s="83" t="s">
        <v>996</v>
      </c>
      <c r="D10" s="83" t="s">
        <v>995</v>
      </c>
      <c r="E10" s="83" t="s">
        <v>994</v>
      </c>
      <c r="F10" s="83" t="s">
        <v>993</v>
      </c>
      <c r="G10" s="83" t="s">
        <v>969</v>
      </c>
      <c r="H10" s="95">
        <f t="shared" si="0"/>
        <v>0</v>
      </c>
    </row>
    <row r="11" spans="1:8" x14ac:dyDescent="0.2">
      <c r="A11" s="85" t="s">
        <v>992</v>
      </c>
      <c r="B11" s="83" t="s">
        <v>991</v>
      </c>
      <c r="C11" s="83" t="s">
        <v>990</v>
      </c>
      <c r="D11" s="83" t="s">
        <v>989</v>
      </c>
      <c r="E11" s="83" t="s">
        <v>977</v>
      </c>
      <c r="F11" s="83" t="s">
        <v>988</v>
      </c>
      <c r="G11" s="83" t="s">
        <v>987</v>
      </c>
      <c r="H11" s="95">
        <f t="shared" si="0"/>
        <v>0</v>
      </c>
    </row>
    <row r="12" spans="1:8" x14ac:dyDescent="0.2">
      <c r="A12" s="85" t="s">
        <v>986</v>
      </c>
      <c r="B12" s="83" t="s">
        <v>985</v>
      </c>
      <c r="C12" s="83" t="s">
        <v>984</v>
      </c>
      <c r="D12" s="83" t="s">
        <v>983</v>
      </c>
      <c r="E12" s="83" t="s">
        <v>977</v>
      </c>
      <c r="F12" s="83" t="s">
        <v>982</v>
      </c>
      <c r="G12" s="83" t="s">
        <v>976</v>
      </c>
      <c r="H12" s="95">
        <f t="shared" si="0"/>
        <v>0</v>
      </c>
    </row>
    <row r="13" spans="1:8" x14ac:dyDescent="0.2">
      <c r="A13" s="85" t="s">
        <v>981</v>
      </c>
      <c r="B13" s="83" t="s">
        <v>980</v>
      </c>
      <c r="C13" s="83" t="s">
        <v>979</v>
      </c>
      <c r="D13" s="83" t="s">
        <v>978</v>
      </c>
      <c r="E13" s="83" t="s">
        <v>977</v>
      </c>
      <c r="F13" s="83" t="s">
        <v>970</v>
      </c>
      <c r="G13" s="83" t="s">
        <v>976</v>
      </c>
      <c r="H13" s="95">
        <f t="shared" si="0"/>
        <v>0</v>
      </c>
    </row>
    <row r="14" spans="1:8" x14ac:dyDescent="0.2">
      <c r="A14" s="85" t="s">
        <v>975</v>
      </c>
      <c r="B14" s="83" t="s">
        <v>974</v>
      </c>
      <c r="C14" s="83" t="s">
        <v>973</v>
      </c>
      <c r="D14" s="83" t="s">
        <v>972</v>
      </c>
      <c r="E14" s="83" t="s">
        <v>971</v>
      </c>
      <c r="F14" s="83" t="s">
        <v>970</v>
      </c>
      <c r="G14" s="83" t="s">
        <v>969</v>
      </c>
      <c r="H14" s="95">
        <f t="shared" si="0"/>
        <v>0</v>
      </c>
    </row>
    <row r="17" spans="1:8" x14ac:dyDescent="0.2">
      <c r="A17" s="115" t="s">
        <v>968</v>
      </c>
      <c r="B17" s="115"/>
      <c r="C17" s="115"/>
      <c r="D17" s="115"/>
      <c r="E17" s="115"/>
      <c r="F17" s="115"/>
      <c r="G17" s="115"/>
      <c r="H17" s="115"/>
    </row>
    <row r="18" spans="1:8" ht="15" customHeight="1" x14ac:dyDescent="0.2">
      <c r="A18" s="94" t="s">
        <v>967</v>
      </c>
      <c r="B18" s="116" t="s">
        <v>966</v>
      </c>
      <c r="C18" s="116"/>
      <c r="D18" s="116"/>
      <c r="E18" s="116"/>
      <c r="F18" s="116"/>
      <c r="G18" s="116"/>
      <c r="H18" s="116"/>
    </row>
    <row r="19" spans="1:8" ht="15" customHeight="1" x14ac:dyDescent="0.2">
      <c r="A19" s="94" t="s">
        <v>965</v>
      </c>
      <c r="B19" s="116" t="s">
        <v>964</v>
      </c>
      <c r="C19" s="116"/>
      <c r="D19" s="116"/>
      <c r="E19" s="116"/>
      <c r="F19" s="116"/>
      <c r="G19" s="116"/>
      <c r="H19" s="116"/>
    </row>
    <row r="20" spans="1:8" ht="15" customHeight="1" x14ac:dyDescent="0.2">
      <c r="A20" s="94" t="s">
        <v>963</v>
      </c>
      <c r="B20" s="116" t="s">
        <v>962</v>
      </c>
      <c r="C20" s="116"/>
      <c r="D20" s="116"/>
      <c r="E20" s="116"/>
      <c r="F20" s="116"/>
      <c r="G20" s="116"/>
      <c r="H20" s="116"/>
    </row>
    <row r="21" spans="1:8" ht="15" customHeight="1" x14ac:dyDescent="0.2">
      <c r="A21" s="94" t="s">
        <v>961</v>
      </c>
      <c r="B21" s="116" t="s">
        <v>960</v>
      </c>
      <c r="C21" s="116"/>
      <c r="D21" s="116"/>
      <c r="E21" s="116"/>
      <c r="F21" s="116"/>
      <c r="G21" s="116"/>
      <c r="H21" s="116"/>
    </row>
    <row r="24" spans="1:8" x14ac:dyDescent="0.2">
      <c r="A24" s="118" t="s">
        <v>959</v>
      </c>
      <c r="B24" s="118"/>
      <c r="C24" s="118"/>
      <c r="D24" s="118"/>
      <c r="E24" s="118"/>
      <c r="F24" s="118"/>
      <c r="G24" s="118"/>
      <c r="H24" s="118"/>
    </row>
    <row r="25" spans="1:8" x14ac:dyDescent="0.2">
      <c r="A25" s="117" t="s">
        <v>958</v>
      </c>
      <c r="B25" s="117"/>
      <c r="C25" s="117"/>
      <c r="D25" s="117"/>
      <c r="E25" s="117"/>
      <c r="F25" s="117"/>
      <c r="G25" s="117"/>
      <c r="H25" s="117"/>
    </row>
    <row r="26" spans="1:8" x14ac:dyDescent="0.2">
      <c r="A26" s="117" t="s">
        <v>957</v>
      </c>
      <c r="B26" s="117"/>
      <c r="C26" s="117"/>
      <c r="D26" s="117"/>
      <c r="E26" s="117"/>
      <c r="F26" s="117"/>
      <c r="G26" s="117"/>
      <c r="H26" s="117"/>
    </row>
    <row r="27" spans="1:8" x14ac:dyDescent="0.2">
      <c r="A27" s="117" t="s">
        <v>956</v>
      </c>
      <c r="B27" s="117"/>
      <c r="C27" s="117"/>
      <c r="D27" s="117"/>
      <c r="E27" s="117"/>
      <c r="F27" s="117"/>
      <c r="G27" s="117"/>
      <c r="H27" s="117"/>
    </row>
    <row r="28" spans="1:8" x14ac:dyDescent="0.2">
      <c r="A28" s="117" t="s">
        <v>955</v>
      </c>
      <c r="B28" s="117"/>
      <c r="C28" s="117"/>
      <c r="D28" s="117"/>
      <c r="E28" s="117"/>
      <c r="F28" s="117"/>
      <c r="G28" s="117"/>
      <c r="H28" s="117"/>
    </row>
    <row r="29" spans="1:8" x14ac:dyDescent="0.2">
      <c r="A29" s="117" t="s">
        <v>954</v>
      </c>
      <c r="B29" s="117"/>
      <c r="C29" s="117"/>
      <c r="D29" s="117"/>
      <c r="E29" s="117"/>
      <c r="F29" s="117"/>
      <c r="G29" s="117"/>
      <c r="H29" s="117"/>
    </row>
    <row r="30" spans="1:8" x14ac:dyDescent="0.2">
      <c r="A30" s="117" t="s">
        <v>953</v>
      </c>
      <c r="B30" s="117"/>
      <c r="C30" s="117"/>
      <c r="D30" s="117"/>
      <c r="E30" s="117"/>
      <c r="F30" s="117"/>
      <c r="G30" s="117"/>
      <c r="H30" s="117"/>
    </row>
  </sheetData>
  <mergeCells count="13">
    <mergeCell ref="A28:H28"/>
    <mergeCell ref="A29:H29"/>
    <mergeCell ref="A30:H30"/>
    <mergeCell ref="B21:H21"/>
    <mergeCell ref="A24:H24"/>
    <mergeCell ref="A25:H25"/>
    <mergeCell ref="A26:H26"/>
    <mergeCell ref="A27:H27"/>
    <mergeCell ref="A1:H1"/>
    <mergeCell ref="A17:H17"/>
    <mergeCell ref="B18:H18"/>
    <mergeCell ref="B19:H19"/>
    <mergeCell ref="B20:H20"/>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B6E64-4AC5-814E-BBFD-A8B25DCDEB06}">
  <dimension ref="A1:AA152"/>
  <sheetViews>
    <sheetView zoomScale="43" workbookViewId="0">
      <pane ySplit="1" topLeftCell="A123" activePane="bottomLeft" state="frozen"/>
      <selection pane="bottomLeft" activeCell="B62" sqref="B62"/>
    </sheetView>
  </sheetViews>
  <sheetFormatPr baseColWidth="10" defaultColWidth="8.83203125" defaultRowHeight="15" x14ac:dyDescent="0.2"/>
  <cols>
    <col min="1" max="1" width="14" customWidth="1"/>
    <col min="2" max="2" width="22" customWidth="1"/>
    <col min="3" max="3" width="24" customWidth="1"/>
    <col min="4" max="4" width="14" customWidth="1"/>
    <col min="5" max="6" width="8" customWidth="1"/>
    <col min="7" max="7" width="16" customWidth="1"/>
    <col min="8" max="8" width="14" customWidth="1"/>
    <col min="9" max="9" width="16" customWidth="1"/>
    <col min="10" max="10" width="10" customWidth="1"/>
    <col min="11" max="11" width="8" customWidth="1"/>
    <col min="12" max="12" width="10" customWidth="1"/>
    <col min="13" max="13" width="12" customWidth="1"/>
    <col min="14" max="15" width="10" customWidth="1"/>
    <col min="16" max="16" width="14" customWidth="1"/>
    <col min="17" max="18" width="10" customWidth="1"/>
    <col min="19" max="19" width="12" customWidth="1"/>
    <col min="20" max="25" width="10" customWidth="1"/>
    <col min="26" max="26" width="35" customWidth="1"/>
    <col min="27" max="27" width="25" customWidth="1"/>
  </cols>
  <sheetData>
    <row r="1" spans="1:27" ht="35" customHeight="1" x14ac:dyDescent="0.2">
      <c r="A1" s="53" t="s">
        <v>734</v>
      </c>
      <c r="B1" s="53" t="s">
        <v>64</v>
      </c>
      <c r="C1" s="53" t="s">
        <v>65</v>
      </c>
      <c r="D1" s="53" t="s">
        <v>66</v>
      </c>
      <c r="E1" s="53" t="s">
        <v>735</v>
      </c>
      <c r="F1" s="53" t="s">
        <v>736</v>
      </c>
      <c r="G1" s="53" t="s">
        <v>470</v>
      </c>
      <c r="H1" s="53" t="s">
        <v>469</v>
      </c>
      <c r="I1" s="53" t="s">
        <v>737</v>
      </c>
      <c r="J1" s="53" t="s">
        <v>738</v>
      </c>
      <c r="K1" s="53" t="s">
        <v>476</v>
      </c>
      <c r="L1" s="53" t="s">
        <v>471</v>
      </c>
      <c r="M1" s="53" t="s">
        <v>477</v>
      </c>
      <c r="N1" s="53" t="s">
        <v>739</v>
      </c>
      <c r="O1" s="53" t="s">
        <v>740</v>
      </c>
      <c r="P1" s="53" t="s">
        <v>67</v>
      </c>
      <c r="Q1" s="53" t="s">
        <v>741</v>
      </c>
      <c r="R1" s="53" t="s">
        <v>742</v>
      </c>
      <c r="S1" s="53" t="s">
        <v>743</v>
      </c>
      <c r="T1" s="53" t="s">
        <v>744</v>
      </c>
      <c r="U1" s="53" t="s">
        <v>745</v>
      </c>
      <c r="V1" s="53" t="s">
        <v>746</v>
      </c>
      <c r="W1" s="53" t="s">
        <v>747</v>
      </c>
      <c r="X1" s="53" t="s">
        <v>748</v>
      </c>
      <c r="Y1" s="53" t="s">
        <v>749</v>
      </c>
      <c r="Z1" s="53" t="s">
        <v>68</v>
      </c>
      <c r="AA1" s="53" t="s">
        <v>15</v>
      </c>
    </row>
    <row r="2" spans="1:27" ht="22" customHeight="1" x14ac:dyDescent="0.2">
      <c r="A2" s="54" t="s">
        <v>750</v>
      </c>
      <c r="B2" s="55" t="s">
        <v>69</v>
      </c>
      <c r="C2" s="56" t="s">
        <v>527</v>
      </c>
      <c r="D2" s="56" t="s">
        <v>710</v>
      </c>
      <c r="E2" s="56">
        <v>80</v>
      </c>
      <c r="F2" s="56" t="s">
        <v>70</v>
      </c>
      <c r="G2" s="56" t="s">
        <v>25</v>
      </c>
      <c r="H2" s="56" t="s">
        <v>36</v>
      </c>
      <c r="I2" s="56" t="s">
        <v>71</v>
      </c>
      <c r="J2" s="57" t="s">
        <v>351</v>
      </c>
      <c r="K2" s="56" t="s">
        <v>72</v>
      </c>
      <c r="L2" s="56" t="s">
        <v>481</v>
      </c>
      <c r="M2" s="56" t="s">
        <v>73</v>
      </c>
      <c r="N2" s="56" t="s">
        <v>481</v>
      </c>
      <c r="O2" s="56" t="s">
        <v>481</v>
      </c>
      <c r="P2" s="56" t="s">
        <v>74</v>
      </c>
      <c r="Q2" s="56">
        <v>16</v>
      </c>
      <c r="R2" s="56">
        <v>1730</v>
      </c>
      <c r="S2" s="56">
        <v>23.4</v>
      </c>
      <c r="T2" s="56">
        <v>26</v>
      </c>
      <c r="U2" s="56">
        <v>8</v>
      </c>
      <c r="V2" s="56">
        <v>82</v>
      </c>
      <c r="W2" s="56">
        <v>105</v>
      </c>
      <c r="X2" s="56"/>
      <c r="Y2" s="56">
        <v>1</v>
      </c>
      <c r="Z2" s="56"/>
      <c r="AA2" s="56" t="s">
        <v>751</v>
      </c>
    </row>
    <row r="3" spans="1:27" ht="22" customHeight="1" x14ac:dyDescent="0.2">
      <c r="A3" s="54" t="s">
        <v>750</v>
      </c>
      <c r="B3" s="55" t="s">
        <v>75</v>
      </c>
      <c r="C3" s="56" t="s">
        <v>76</v>
      </c>
      <c r="D3" s="56" t="s">
        <v>710</v>
      </c>
      <c r="E3" s="56">
        <v>500</v>
      </c>
      <c r="F3" s="56" t="s">
        <v>70</v>
      </c>
      <c r="G3" s="56" t="s">
        <v>30</v>
      </c>
      <c r="H3" s="56" t="s">
        <v>36</v>
      </c>
      <c r="I3" s="56" t="s">
        <v>30</v>
      </c>
      <c r="J3" s="57" t="s">
        <v>351</v>
      </c>
      <c r="K3" s="56" t="s">
        <v>77</v>
      </c>
      <c r="L3" s="56" t="s">
        <v>481</v>
      </c>
      <c r="M3" s="56" t="s">
        <v>78</v>
      </c>
      <c r="N3" s="56" t="s">
        <v>481</v>
      </c>
      <c r="O3" s="56" t="s">
        <v>481</v>
      </c>
      <c r="P3" s="56" t="s">
        <v>74</v>
      </c>
      <c r="Q3" s="56">
        <v>1</v>
      </c>
      <c r="R3" s="56">
        <v>1020</v>
      </c>
      <c r="S3" s="56">
        <v>1200</v>
      </c>
      <c r="T3" s="56">
        <v>1345</v>
      </c>
      <c r="U3" s="56">
        <v>3.8</v>
      </c>
      <c r="V3" s="56">
        <v>7</v>
      </c>
      <c r="W3" s="56">
        <v>22</v>
      </c>
      <c r="X3" s="56">
        <v>40</v>
      </c>
      <c r="Y3" s="56">
        <v>1</v>
      </c>
      <c r="Z3" s="56" t="s">
        <v>79</v>
      </c>
      <c r="AA3" s="56" t="s">
        <v>751</v>
      </c>
    </row>
    <row r="4" spans="1:27" ht="22" customHeight="1" x14ac:dyDescent="0.2">
      <c r="A4" s="54" t="s">
        <v>750</v>
      </c>
      <c r="B4" s="55" t="s">
        <v>80</v>
      </c>
      <c r="C4" s="56" t="s">
        <v>76</v>
      </c>
      <c r="D4" s="56" t="s">
        <v>710</v>
      </c>
      <c r="E4" s="56">
        <v>80</v>
      </c>
      <c r="F4" s="56" t="s">
        <v>70</v>
      </c>
      <c r="G4" s="56" t="s">
        <v>30</v>
      </c>
      <c r="H4" s="56" t="s">
        <v>36</v>
      </c>
      <c r="I4" s="56" t="s">
        <v>30</v>
      </c>
      <c r="J4" s="57" t="s">
        <v>351</v>
      </c>
      <c r="K4" s="56" t="s">
        <v>77</v>
      </c>
      <c r="L4" s="56" t="s">
        <v>481</v>
      </c>
      <c r="M4" s="56" t="s">
        <v>78</v>
      </c>
      <c r="N4" s="56" t="s">
        <v>481</v>
      </c>
      <c r="O4" s="56" t="s">
        <v>481</v>
      </c>
      <c r="P4" s="56" t="s">
        <v>74</v>
      </c>
      <c r="Q4" s="56">
        <v>1</v>
      </c>
      <c r="R4" s="56">
        <v>1020</v>
      </c>
      <c r="S4" s="56">
        <v>30</v>
      </c>
      <c r="T4" s="56">
        <v>34</v>
      </c>
      <c r="U4" s="56">
        <v>0.6</v>
      </c>
      <c r="V4" s="56">
        <v>7</v>
      </c>
      <c r="W4" s="56">
        <v>22</v>
      </c>
      <c r="X4" s="56">
        <v>40</v>
      </c>
      <c r="Y4" s="56">
        <v>2</v>
      </c>
      <c r="Z4" s="56"/>
      <c r="AA4" s="56" t="s">
        <v>751</v>
      </c>
    </row>
    <row r="5" spans="1:27" ht="22" customHeight="1" x14ac:dyDescent="0.2">
      <c r="A5" s="54" t="s">
        <v>750</v>
      </c>
      <c r="B5" s="55" t="s">
        <v>81</v>
      </c>
      <c r="C5" s="56" t="s">
        <v>82</v>
      </c>
      <c r="D5" s="56" t="s">
        <v>710</v>
      </c>
      <c r="E5" s="56">
        <v>150</v>
      </c>
      <c r="F5" s="56" t="s">
        <v>70</v>
      </c>
      <c r="G5" s="56" t="s">
        <v>25</v>
      </c>
      <c r="H5" s="56" t="s">
        <v>36</v>
      </c>
      <c r="I5" s="56" t="s">
        <v>71</v>
      </c>
      <c r="J5" s="57" t="s">
        <v>351</v>
      </c>
      <c r="K5" s="56" t="s">
        <v>72</v>
      </c>
      <c r="L5" s="56" t="s">
        <v>481</v>
      </c>
      <c r="M5" s="56" t="s">
        <v>73</v>
      </c>
      <c r="N5" s="56" t="s">
        <v>481</v>
      </c>
      <c r="O5" s="56" t="s">
        <v>481</v>
      </c>
      <c r="P5" s="56" t="s">
        <v>74</v>
      </c>
      <c r="Q5" s="56" t="s">
        <v>83</v>
      </c>
      <c r="R5" s="56">
        <v>1290</v>
      </c>
      <c r="S5" s="56">
        <v>100</v>
      </c>
      <c r="T5" s="56">
        <v>112</v>
      </c>
      <c r="U5" s="56">
        <v>3.8</v>
      </c>
      <c r="V5" s="56">
        <v>5</v>
      </c>
      <c r="W5" s="56">
        <v>70</v>
      </c>
      <c r="X5" s="56">
        <v>105</v>
      </c>
      <c r="Y5" s="56">
        <v>1.8</v>
      </c>
      <c r="Z5" s="56"/>
      <c r="AA5" s="56" t="s">
        <v>751</v>
      </c>
    </row>
    <row r="6" spans="1:27" ht="22" customHeight="1" x14ac:dyDescent="0.2">
      <c r="A6" s="54" t="s">
        <v>750</v>
      </c>
      <c r="B6" s="55" t="s">
        <v>84</v>
      </c>
      <c r="C6" s="56" t="s">
        <v>82</v>
      </c>
      <c r="D6" s="56" t="s">
        <v>710</v>
      </c>
      <c r="E6" s="56">
        <v>150</v>
      </c>
      <c r="F6" s="56" t="s">
        <v>70</v>
      </c>
      <c r="G6" s="56" t="s">
        <v>25</v>
      </c>
      <c r="H6" s="56" t="s">
        <v>36</v>
      </c>
      <c r="I6" s="56" t="s">
        <v>71</v>
      </c>
      <c r="J6" s="57" t="s">
        <v>351</v>
      </c>
      <c r="K6" s="56" t="s">
        <v>72</v>
      </c>
      <c r="L6" s="56" t="s">
        <v>481</v>
      </c>
      <c r="M6" s="56" t="s">
        <v>73</v>
      </c>
      <c r="N6" s="56" t="s">
        <v>481</v>
      </c>
      <c r="O6" s="56" t="s">
        <v>481</v>
      </c>
      <c r="P6" s="56" t="s">
        <v>74</v>
      </c>
      <c r="Q6" s="56" t="s">
        <v>83</v>
      </c>
      <c r="R6" s="56">
        <v>1290</v>
      </c>
      <c r="S6" s="56">
        <v>100</v>
      </c>
      <c r="T6" s="56">
        <v>112</v>
      </c>
      <c r="U6" s="56">
        <v>3.8</v>
      </c>
      <c r="V6" s="56">
        <v>5</v>
      </c>
      <c r="W6" s="56">
        <v>70</v>
      </c>
      <c r="X6" s="56">
        <v>105</v>
      </c>
      <c r="Y6" s="56">
        <v>1.8</v>
      </c>
      <c r="Z6" s="56"/>
      <c r="AA6" s="56" t="s">
        <v>751</v>
      </c>
    </row>
    <row r="7" spans="1:27" ht="22" customHeight="1" x14ac:dyDescent="0.2">
      <c r="A7" s="54" t="s">
        <v>750</v>
      </c>
      <c r="B7" s="55" t="s">
        <v>85</v>
      </c>
      <c r="C7" s="56" t="s">
        <v>82</v>
      </c>
      <c r="D7" s="56" t="s">
        <v>710</v>
      </c>
      <c r="E7" s="56">
        <v>100</v>
      </c>
      <c r="F7" s="56" t="s">
        <v>70</v>
      </c>
      <c r="G7" s="56" t="s">
        <v>25</v>
      </c>
      <c r="H7" s="56" t="s">
        <v>36</v>
      </c>
      <c r="I7" s="56" t="s">
        <v>71</v>
      </c>
      <c r="J7" s="57" t="s">
        <v>351</v>
      </c>
      <c r="K7" s="56" t="s">
        <v>72</v>
      </c>
      <c r="L7" s="56" t="s">
        <v>481</v>
      </c>
      <c r="M7" s="56" t="s">
        <v>73</v>
      </c>
      <c r="N7" s="56" t="s">
        <v>481</v>
      </c>
      <c r="O7" s="56" t="s">
        <v>481</v>
      </c>
      <c r="P7" s="56" t="s">
        <v>74</v>
      </c>
      <c r="Q7" s="56" t="s">
        <v>83</v>
      </c>
      <c r="R7" s="56">
        <v>1290</v>
      </c>
      <c r="S7" s="56">
        <v>50</v>
      </c>
      <c r="T7" s="56">
        <v>58</v>
      </c>
      <c r="U7" s="56">
        <v>4.8</v>
      </c>
      <c r="V7" s="56">
        <v>7</v>
      </c>
      <c r="W7" s="56">
        <v>65</v>
      </c>
      <c r="X7" s="56">
        <v>105</v>
      </c>
      <c r="Y7" s="56">
        <v>2.1</v>
      </c>
      <c r="Z7" s="56"/>
      <c r="AA7" s="56" t="s">
        <v>751</v>
      </c>
    </row>
    <row r="8" spans="1:27" ht="22" customHeight="1" x14ac:dyDescent="0.2">
      <c r="A8" s="54" t="s">
        <v>750</v>
      </c>
      <c r="B8" s="55" t="s">
        <v>86</v>
      </c>
      <c r="C8" s="56" t="s">
        <v>82</v>
      </c>
      <c r="D8" s="56" t="s">
        <v>710</v>
      </c>
      <c r="E8" s="56">
        <v>100</v>
      </c>
      <c r="F8" s="56" t="s">
        <v>70</v>
      </c>
      <c r="G8" s="56" t="s">
        <v>25</v>
      </c>
      <c r="H8" s="56" t="s">
        <v>36</v>
      </c>
      <c r="I8" s="56" t="s">
        <v>71</v>
      </c>
      <c r="J8" s="57" t="s">
        <v>351</v>
      </c>
      <c r="K8" s="56" t="s">
        <v>72</v>
      </c>
      <c r="L8" s="56" t="s">
        <v>481</v>
      </c>
      <c r="M8" s="56" t="s">
        <v>73</v>
      </c>
      <c r="N8" s="56" t="s">
        <v>481</v>
      </c>
      <c r="O8" s="56" t="s">
        <v>481</v>
      </c>
      <c r="P8" s="56" t="s">
        <v>74</v>
      </c>
      <c r="Q8" s="56" t="s">
        <v>83</v>
      </c>
      <c r="R8" s="56">
        <v>1290</v>
      </c>
      <c r="S8" s="56">
        <v>50</v>
      </c>
      <c r="T8" s="56">
        <v>58</v>
      </c>
      <c r="U8" s="56">
        <v>4.8</v>
      </c>
      <c r="V8" s="56">
        <v>7</v>
      </c>
      <c r="W8" s="56">
        <v>65</v>
      </c>
      <c r="X8" s="56">
        <v>105</v>
      </c>
      <c r="Y8" s="56">
        <v>2.1</v>
      </c>
      <c r="Z8" s="56"/>
      <c r="AA8" s="56" t="s">
        <v>751</v>
      </c>
    </row>
    <row r="9" spans="1:27" ht="22" customHeight="1" x14ac:dyDescent="0.2">
      <c r="A9" s="54" t="s">
        <v>750</v>
      </c>
      <c r="B9" s="55" t="s">
        <v>87</v>
      </c>
      <c r="C9" s="56" t="s">
        <v>82</v>
      </c>
      <c r="D9" s="56" t="s">
        <v>710</v>
      </c>
      <c r="E9" s="56">
        <v>100</v>
      </c>
      <c r="F9" s="56" t="s">
        <v>70</v>
      </c>
      <c r="G9" s="56" t="s">
        <v>25</v>
      </c>
      <c r="H9" s="56" t="s">
        <v>36</v>
      </c>
      <c r="I9" s="56" t="s">
        <v>71</v>
      </c>
      <c r="J9" s="57" t="s">
        <v>351</v>
      </c>
      <c r="K9" s="56" t="s">
        <v>72</v>
      </c>
      <c r="L9" s="56" t="s">
        <v>481</v>
      </c>
      <c r="M9" s="56" t="s">
        <v>73</v>
      </c>
      <c r="N9" s="56" t="s">
        <v>481</v>
      </c>
      <c r="O9" s="56" t="s">
        <v>481</v>
      </c>
      <c r="P9" s="56" t="s">
        <v>74</v>
      </c>
      <c r="Q9" s="56" t="s">
        <v>83</v>
      </c>
      <c r="R9" s="56">
        <v>1290</v>
      </c>
      <c r="S9" s="56">
        <v>50</v>
      </c>
      <c r="T9" s="56">
        <v>58</v>
      </c>
      <c r="U9" s="56">
        <v>4.8</v>
      </c>
      <c r="V9" s="56">
        <v>7</v>
      </c>
      <c r="W9" s="56">
        <v>65</v>
      </c>
      <c r="X9" s="56">
        <v>105</v>
      </c>
      <c r="Y9" s="56">
        <v>2.1</v>
      </c>
      <c r="Z9" s="56"/>
      <c r="AA9" s="56" t="s">
        <v>751</v>
      </c>
    </row>
    <row r="10" spans="1:27" ht="22" customHeight="1" x14ac:dyDescent="0.2">
      <c r="A10" s="54" t="s">
        <v>750</v>
      </c>
      <c r="B10" s="55" t="s">
        <v>88</v>
      </c>
      <c r="C10" s="56" t="s">
        <v>82</v>
      </c>
      <c r="D10" s="56" t="s">
        <v>710</v>
      </c>
      <c r="E10" s="56">
        <v>100</v>
      </c>
      <c r="F10" s="56" t="s">
        <v>70</v>
      </c>
      <c r="G10" s="56" t="s">
        <v>25</v>
      </c>
      <c r="H10" s="56" t="s">
        <v>36</v>
      </c>
      <c r="I10" s="56" t="s">
        <v>71</v>
      </c>
      <c r="J10" s="57" t="s">
        <v>351</v>
      </c>
      <c r="K10" s="56" t="s">
        <v>72</v>
      </c>
      <c r="L10" s="56" t="s">
        <v>481</v>
      </c>
      <c r="M10" s="56" t="s">
        <v>73</v>
      </c>
      <c r="N10" s="56" t="s">
        <v>481</v>
      </c>
      <c r="O10" s="56" t="s">
        <v>481</v>
      </c>
      <c r="P10" s="56" t="s">
        <v>74</v>
      </c>
      <c r="Q10" s="56" t="s">
        <v>83</v>
      </c>
      <c r="R10" s="56">
        <v>1290</v>
      </c>
      <c r="S10" s="56">
        <v>50</v>
      </c>
      <c r="T10" s="56">
        <v>58</v>
      </c>
      <c r="U10" s="56">
        <v>4.8</v>
      </c>
      <c r="V10" s="56">
        <v>7</v>
      </c>
      <c r="W10" s="56">
        <v>65</v>
      </c>
      <c r="X10" s="56">
        <v>105</v>
      </c>
      <c r="Y10" s="56">
        <v>2.1</v>
      </c>
      <c r="Z10" s="56"/>
      <c r="AA10" s="56" t="s">
        <v>751</v>
      </c>
    </row>
    <row r="11" spans="1:27" ht="22" customHeight="1" x14ac:dyDescent="0.2">
      <c r="A11" s="54" t="s">
        <v>750</v>
      </c>
      <c r="B11" s="55" t="s">
        <v>89</v>
      </c>
      <c r="C11" s="56" t="s">
        <v>82</v>
      </c>
      <c r="D11" s="56" t="s">
        <v>710</v>
      </c>
      <c r="E11" s="56">
        <v>100</v>
      </c>
      <c r="F11" s="56" t="s">
        <v>70</v>
      </c>
      <c r="G11" s="56" t="s">
        <v>25</v>
      </c>
      <c r="H11" s="56" t="s">
        <v>36</v>
      </c>
      <c r="I11" s="56" t="s">
        <v>71</v>
      </c>
      <c r="J11" s="57" t="s">
        <v>351</v>
      </c>
      <c r="K11" s="56" t="s">
        <v>72</v>
      </c>
      <c r="L11" s="56" t="s">
        <v>481</v>
      </c>
      <c r="M11" s="56" t="s">
        <v>73</v>
      </c>
      <c r="N11" s="56" t="s">
        <v>481</v>
      </c>
      <c r="O11" s="56" t="s">
        <v>481</v>
      </c>
      <c r="P11" s="56" t="s">
        <v>74</v>
      </c>
      <c r="Q11" s="56" t="s">
        <v>83</v>
      </c>
      <c r="R11" s="56">
        <v>1290</v>
      </c>
      <c r="S11" s="56">
        <v>50</v>
      </c>
      <c r="T11" s="56">
        <v>58</v>
      </c>
      <c r="U11" s="56">
        <v>4.8</v>
      </c>
      <c r="V11" s="56">
        <v>7</v>
      </c>
      <c r="W11" s="56">
        <v>65</v>
      </c>
      <c r="X11" s="56">
        <v>105</v>
      </c>
      <c r="Y11" s="56">
        <v>2.1</v>
      </c>
      <c r="Z11" s="56"/>
      <c r="AA11" s="56" t="s">
        <v>751</v>
      </c>
    </row>
    <row r="12" spans="1:27" ht="22" customHeight="1" x14ac:dyDescent="0.2">
      <c r="A12" s="54" t="s">
        <v>750</v>
      </c>
      <c r="B12" s="55" t="s">
        <v>90</v>
      </c>
      <c r="C12" s="56" t="s">
        <v>91</v>
      </c>
      <c r="D12" s="56" t="s">
        <v>711</v>
      </c>
      <c r="E12" s="56">
        <v>200</v>
      </c>
      <c r="F12" s="56" t="s">
        <v>70</v>
      </c>
      <c r="G12" s="56" t="s">
        <v>24</v>
      </c>
      <c r="H12" s="56" t="s">
        <v>36</v>
      </c>
      <c r="I12" s="56" t="s">
        <v>92</v>
      </c>
      <c r="J12" s="57" t="s">
        <v>351</v>
      </c>
      <c r="K12" s="56" t="s">
        <v>72</v>
      </c>
      <c r="L12" s="56" t="s">
        <v>481</v>
      </c>
      <c r="M12" s="56" t="s">
        <v>78</v>
      </c>
      <c r="N12" s="56" t="s">
        <v>481</v>
      </c>
      <c r="O12" s="56" t="s">
        <v>481</v>
      </c>
      <c r="P12" s="56" t="s">
        <v>74</v>
      </c>
      <c r="Q12" s="56">
        <v>1</v>
      </c>
      <c r="R12" s="56">
        <v>1000</v>
      </c>
      <c r="S12" s="56">
        <v>90</v>
      </c>
      <c r="T12" s="56">
        <v>100</v>
      </c>
      <c r="U12" s="56">
        <v>3.8</v>
      </c>
      <c r="V12" s="56">
        <v>9</v>
      </c>
      <c r="W12" s="56">
        <v>32</v>
      </c>
      <c r="X12" s="56">
        <v>60</v>
      </c>
      <c r="Y12" s="56">
        <v>0.8</v>
      </c>
      <c r="Z12" s="56"/>
      <c r="AA12" s="56" t="s">
        <v>751</v>
      </c>
    </row>
    <row r="13" spans="1:27" ht="22" customHeight="1" x14ac:dyDescent="0.2">
      <c r="A13" s="54" t="s">
        <v>750</v>
      </c>
      <c r="B13" s="55" t="s">
        <v>93</v>
      </c>
      <c r="C13" s="56" t="s">
        <v>94</v>
      </c>
      <c r="D13" s="56" t="s">
        <v>710</v>
      </c>
      <c r="E13" s="56">
        <v>50</v>
      </c>
      <c r="F13" s="56" t="s">
        <v>95</v>
      </c>
      <c r="G13" s="56" t="s">
        <v>25</v>
      </c>
      <c r="H13" s="56" t="s">
        <v>36</v>
      </c>
      <c r="I13" s="56" t="s">
        <v>71</v>
      </c>
      <c r="J13" s="57" t="s">
        <v>351</v>
      </c>
      <c r="K13" s="56" t="s">
        <v>72</v>
      </c>
      <c r="L13" s="56" t="s">
        <v>481</v>
      </c>
      <c r="M13" s="56" t="s">
        <v>73</v>
      </c>
      <c r="N13" s="56" t="s">
        <v>481</v>
      </c>
      <c r="O13" s="56" t="s">
        <v>481</v>
      </c>
      <c r="P13" s="56" t="s">
        <v>74</v>
      </c>
      <c r="Q13" s="56">
        <v>14</v>
      </c>
      <c r="R13" s="56">
        <v>1810</v>
      </c>
      <c r="S13" s="56">
        <v>2.5</v>
      </c>
      <c r="T13" s="56">
        <v>3</v>
      </c>
      <c r="U13" s="56">
        <v>3.8</v>
      </c>
      <c r="V13" s="56">
        <v>4</v>
      </c>
      <c r="W13" s="56">
        <v>40</v>
      </c>
      <c r="X13" s="56">
        <v>60</v>
      </c>
      <c r="Y13" s="56">
        <v>0.4</v>
      </c>
      <c r="Z13" s="56" t="s">
        <v>96</v>
      </c>
      <c r="AA13" s="56" t="s">
        <v>751</v>
      </c>
    </row>
    <row r="14" spans="1:27" ht="22" customHeight="1" x14ac:dyDescent="0.2">
      <c r="A14" s="54" t="s">
        <v>750</v>
      </c>
      <c r="B14" s="55" t="s">
        <v>97</v>
      </c>
      <c r="C14" s="56" t="s">
        <v>98</v>
      </c>
      <c r="D14" s="56" t="s">
        <v>714</v>
      </c>
      <c r="E14" s="56">
        <v>100</v>
      </c>
      <c r="F14" s="56" t="s">
        <v>70</v>
      </c>
      <c r="G14" s="56" t="s">
        <v>25</v>
      </c>
      <c r="H14" s="56" t="s">
        <v>36</v>
      </c>
      <c r="I14" s="56" t="s">
        <v>71</v>
      </c>
      <c r="J14" s="57" t="s">
        <v>351</v>
      </c>
      <c r="K14" s="56" t="s">
        <v>72</v>
      </c>
      <c r="L14" s="56" t="s">
        <v>481</v>
      </c>
      <c r="M14" s="56" t="s">
        <v>73</v>
      </c>
      <c r="N14" s="56" t="s">
        <v>481</v>
      </c>
      <c r="O14" s="56" t="s">
        <v>481</v>
      </c>
      <c r="P14" s="56" t="s">
        <v>74</v>
      </c>
      <c r="Q14" s="56">
        <v>200</v>
      </c>
      <c r="R14" s="56">
        <v>1430</v>
      </c>
      <c r="S14" s="56">
        <v>35</v>
      </c>
      <c r="T14" s="56">
        <v>37</v>
      </c>
      <c r="U14" s="56"/>
      <c r="V14" s="56"/>
      <c r="W14" s="56">
        <v>73</v>
      </c>
      <c r="X14" s="56">
        <v>90</v>
      </c>
      <c r="Y14" s="56">
        <v>6</v>
      </c>
      <c r="Z14" s="56" t="s">
        <v>99</v>
      </c>
      <c r="AA14" s="56" t="s">
        <v>751</v>
      </c>
    </row>
    <row r="15" spans="1:27" ht="22" customHeight="1" x14ac:dyDescent="0.2">
      <c r="A15" s="54" t="s">
        <v>750</v>
      </c>
      <c r="B15" s="55" t="s">
        <v>100</v>
      </c>
      <c r="C15" s="56" t="s">
        <v>752</v>
      </c>
      <c r="D15" s="56" t="s">
        <v>714</v>
      </c>
      <c r="E15" s="56">
        <v>100</v>
      </c>
      <c r="F15" s="56" t="s">
        <v>70</v>
      </c>
      <c r="G15" s="56" t="s">
        <v>25</v>
      </c>
      <c r="H15" s="56" t="s">
        <v>36</v>
      </c>
      <c r="I15" s="56" t="s">
        <v>71</v>
      </c>
      <c r="J15" s="57" t="s">
        <v>351</v>
      </c>
      <c r="K15" s="56" t="s">
        <v>72</v>
      </c>
      <c r="L15" s="56" t="s">
        <v>481</v>
      </c>
      <c r="M15" s="56" t="s">
        <v>73</v>
      </c>
      <c r="N15" s="56" t="s">
        <v>481</v>
      </c>
      <c r="O15" s="56" t="s">
        <v>481</v>
      </c>
      <c r="P15" s="56" t="s">
        <v>74</v>
      </c>
      <c r="Q15" s="56">
        <v>200</v>
      </c>
      <c r="R15" s="56">
        <v>1430</v>
      </c>
      <c r="S15" s="56">
        <v>35</v>
      </c>
      <c r="T15" s="56">
        <v>37</v>
      </c>
      <c r="U15" s="56"/>
      <c r="V15" s="56"/>
      <c r="W15" s="56">
        <v>73</v>
      </c>
      <c r="X15" s="56">
        <v>90</v>
      </c>
      <c r="Y15" s="56">
        <v>6</v>
      </c>
      <c r="Z15" s="56" t="s">
        <v>101</v>
      </c>
      <c r="AA15" s="56" t="s">
        <v>751</v>
      </c>
    </row>
    <row r="16" spans="1:27" ht="22" customHeight="1" x14ac:dyDescent="0.2">
      <c r="A16" s="58" t="s">
        <v>753</v>
      </c>
      <c r="B16" s="59" t="s">
        <v>351</v>
      </c>
      <c r="C16" s="60" t="s">
        <v>754</v>
      </c>
      <c r="D16" s="60" t="s">
        <v>710</v>
      </c>
      <c r="E16" s="61" t="s">
        <v>351</v>
      </c>
      <c r="F16" s="60" t="s">
        <v>485</v>
      </c>
      <c r="G16" s="60" t="s">
        <v>24</v>
      </c>
      <c r="H16" s="60" t="s">
        <v>34</v>
      </c>
      <c r="I16" s="60" t="s">
        <v>755</v>
      </c>
      <c r="J16" s="61" t="s">
        <v>351</v>
      </c>
      <c r="K16" s="60" t="s">
        <v>77</v>
      </c>
      <c r="L16" s="60" t="s">
        <v>481</v>
      </c>
      <c r="M16" s="60" t="s">
        <v>78</v>
      </c>
      <c r="N16" s="60" t="s">
        <v>756</v>
      </c>
      <c r="O16" s="60" t="s">
        <v>757</v>
      </c>
      <c r="P16" s="60" t="s">
        <v>74</v>
      </c>
      <c r="Q16" s="61" t="s">
        <v>351</v>
      </c>
      <c r="R16" s="61" t="s">
        <v>351</v>
      </c>
      <c r="S16" s="61" t="s">
        <v>351</v>
      </c>
      <c r="T16" s="61" t="s">
        <v>351</v>
      </c>
      <c r="U16" s="61" t="s">
        <v>351</v>
      </c>
      <c r="V16" s="61" t="s">
        <v>351</v>
      </c>
      <c r="W16" s="61" t="s">
        <v>351</v>
      </c>
      <c r="X16" s="61" t="s">
        <v>351</v>
      </c>
      <c r="Y16" s="61" t="s">
        <v>351</v>
      </c>
      <c r="Z16" s="60"/>
      <c r="AA16" s="60" t="s">
        <v>758</v>
      </c>
    </row>
    <row r="17" spans="1:27" ht="22" customHeight="1" x14ac:dyDescent="0.2">
      <c r="A17" s="58" t="s">
        <v>753</v>
      </c>
      <c r="B17" s="59" t="s">
        <v>351</v>
      </c>
      <c r="C17" s="60" t="s">
        <v>759</v>
      </c>
      <c r="D17" s="60" t="s">
        <v>710</v>
      </c>
      <c r="E17" s="61" t="s">
        <v>351</v>
      </c>
      <c r="F17" s="60" t="s">
        <v>485</v>
      </c>
      <c r="G17" s="60" t="s">
        <v>24</v>
      </c>
      <c r="H17" s="60" t="s">
        <v>34</v>
      </c>
      <c r="I17" s="60" t="s">
        <v>755</v>
      </c>
      <c r="J17" s="61" t="s">
        <v>351</v>
      </c>
      <c r="K17" s="60" t="s">
        <v>77</v>
      </c>
      <c r="L17" s="60" t="s">
        <v>481</v>
      </c>
      <c r="M17" s="60" t="s">
        <v>78</v>
      </c>
      <c r="N17" s="60" t="s">
        <v>756</v>
      </c>
      <c r="O17" s="60" t="s">
        <v>757</v>
      </c>
      <c r="P17" s="60" t="s">
        <v>74</v>
      </c>
      <c r="Q17" s="61" t="s">
        <v>351</v>
      </c>
      <c r="R17" s="61" t="s">
        <v>351</v>
      </c>
      <c r="S17" s="61" t="s">
        <v>351</v>
      </c>
      <c r="T17" s="61" t="s">
        <v>351</v>
      </c>
      <c r="U17" s="61" t="s">
        <v>351</v>
      </c>
      <c r="V17" s="61" t="s">
        <v>351</v>
      </c>
      <c r="W17" s="61" t="s">
        <v>351</v>
      </c>
      <c r="X17" s="61" t="s">
        <v>351</v>
      </c>
      <c r="Y17" s="61" t="s">
        <v>351</v>
      </c>
      <c r="Z17" s="60"/>
      <c r="AA17" s="60" t="s">
        <v>758</v>
      </c>
    </row>
    <row r="18" spans="1:27" ht="22" customHeight="1" x14ac:dyDescent="0.2">
      <c r="A18" s="58" t="s">
        <v>753</v>
      </c>
      <c r="B18" s="59" t="s">
        <v>351</v>
      </c>
      <c r="C18" s="60" t="s">
        <v>760</v>
      </c>
      <c r="D18" s="60" t="s">
        <v>710</v>
      </c>
      <c r="E18" s="61" t="s">
        <v>351</v>
      </c>
      <c r="F18" s="60" t="s">
        <v>485</v>
      </c>
      <c r="G18" s="60" t="s">
        <v>24</v>
      </c>
      <c r="H18" s="60" t="s">
        <v>34</v>
      </c>
      <c r="I18" s="60" t="s">
        <v>755</v>
      </c>
      <c r="J18" s="61" t="s">
        <v>351</v>
      </c>
      <c r="K18" s="60" t="s">
        <v>72</v>
      </c>
      <c r="L18" s="60" t="s">
        <v>481</v>
      </c>
      <c r="M18" s="60" t="s">
        <v>73</v>
      </c>
      <c r="N18" s="60" t="s">
        <v>756</v>
      </c>
      <c r="O18" s="60" t="s">
        <v>757</v>
      </c>
      <c r="P18" s="60" t="s">
        <v>74</v>
      </c>
      <c r="Q18" s="61" t="s">
        <v>351</v>
      </c>
      <c r="R18" s="61" t="s">
        <v>351</v>
      </c>
      <c r="S18" s="61" t="s">
        <v>351</v>
      </c>
      <c r="T18" s="61" t="s">
        <v>351</v>
      </c>
      <c r="U18" s="61" t="s">
        <v>351</v>
      </c>
      <c r="V18" s="61" t="s">
        <v>351</v>
      </c>
      <c r="W18" s="61" t="s">
        <v>351</v>
      </c>
      <c r="X18" s="61" t="s">
        <v>351</v>
      </c>
      <c r="Y18" s="61" t="s">
        <v>351</v>
      </c>
      <c r="Z18" s="62" t="s">
        <v>761</v>
      </c>
      <c r="AA18" s="60" t="s">
        <v>758</v>
      </c>
    </row>
    <row r="19" spans="1:27" ht="22" customHeight="1" x14ac:dyDescent="0.2">
      <c r="A19" s="58" t="s">
        <v>753</v>
      </c>
      <c r="B19" s="59" t="s">
        <v>351</v>
      </c>
      <c r="C19" s="60" t="s">
        <v>762</v>
      </c>
      <c r="D19" s="60" t="s">
        <v>710</v>
      </c>
      <c r="E19" s="61" t="s">
        <v>351</v>
      </c>
      <c r="F19" s="60" t="s">
        <v>485</v>
      </c>
      <c r="G19" s="60" t="s">
        <v>24</v>
      </c>
      <c r="H19" s="60" t="s">
        <v>34</v>
      </c>
      <c r="I19" s="60" t="s">
        <v>755</v>
      </c>
      <c r="J19" s="61" t="s">
        <v>351</v>
      </c>
      <c r="K19" s="60" t="s">
        <v>72</v>
      </c>
      <c r="L19" s="60" t="s">
        <v>481</v>
      </c>
      <c r="M19" s="60" t="s">
        <v>73</v>
      </c>
      <c r="N19" s="60" t="s">
        <v>756</v>
      </c>
      <c r="O19" s="60" t="s">
        <v>757</v>
      </c>
      <c r="P19" s="60" t="s">
        <v>74</v>
      </c>
      <c r="Q19" s="61" t="s">
        <v>351</v>
      </c>
      <c r="R19" s="61" t="s">
        <v>351</v>
      </c>
      <c r="S19" s="61" t="s">
        <v>351</v>
      </c>
      <c r="T19" s="61" t="s">
        <v>351</v>
      </c>
      <c r="U19" s="61" t="s">
        <v>351</v>
      </c>
      <c r="V19" s="61" t="s">
        <v>351</v>
      </c>
      <c r="W19" s="61" t="s">
        <v>351</v>
      </c>
      <c r="X19" s="61" t="s">
        <v>351</v>
      </c>
      <c r="Y19" s="61" t="s">
        <v>351</v>
      </c>
      <c r="Z19" s="60" t="s">
        <v>763</v>
      </c>
      <c r="AA19" s="60" t="s">
        <v>758</v>
      </c>
    </row>
    <row r="20" spans="1:27" ht="22" customHeight="1" x14ac:dyDescent="0.2">
      <c r="A20" s="58" t="s">
        <v>753</v>
      </c>
      <c r="B20" s="59" t="s">
        <v>351</v>
      </c>
      <c r="C20" s="60" t="s">
        <v>517</v>
      </c>
      <c r="D20" s="60" t="s">
        <v>711</v>
      </c>
      <c r="E20" s="61" t="s">
        <v>351</v>
      </c>
      <c r="F20" s="60" t="s">
        <v>485</v>
      </c>
      <c r="G20" s="60" t="s">
        <v>24</v>
      </c>
      <c r="H20" s="60" t="s">
        <v>34</v>
      </c>
      <c r="I20" s="60" t="s">
        <v>755</v>
      </c>
      <c r="J20" s="61" t="s">
        <v>351</v>
      </c>
      <c r="K20" s="60" t="s">
        <v>77</v>
      </c>
      <c r="L20" s="60" t="s">
        <v>481</v>
      </c>
      <c r="M20" s="60" t="s">
        <v>78</v>
      </c>
      <c r="N20" s="60" t="s">
        <v>756</v>
      </c>
      <c r="O20" s="60" t="s">
        <v>757</v>
      </c>
      <c r="P20" s="60" t="s">
        <v>74</v>
      </c>
      <c r="Q20" s="61" t="s">
        <v>351</v>
      </c>
      <c r="R20" s="61" t="s">
        <v>351</v>
      </c>
      <c r="S20" s="61" t="s">
        <v>351</v>
      </c>
      <c r="T20" s="61" t="s">
        <v>351</v>
      </c>
      <c r="U20" s="61" t="s">
        <v>351</v>
      </c>
      <c r="V20" s="61" t="s">
        <v>351</v>
      </c>
      <c r="W20" s="61" t="s">
        <v>351</v>
      </c>
      <c r="X20" s="61" t="s">
        <v>351</v>
      </c>
      <c r="Y20" s="61" t="s">
        <v>351</v>
      </c>
      <c r="Z20" s="60"/>
      <c r="AA20" s="60" t="s">
        <v>758</v>
      </c>
    </row>
    <row r="21" spans="1:27" ht="22" customHeight="1" x14ac:dyDescent="0.2">
      <c r="A21" s="58" t="s">
        <v>753</v>
      </c>
      <c r="B21" s="59" t="s">
        <v>351</v>
      </c>
      <c r="C21" s="60" t="s">
        <v>515</v>
      </c>
      <c r="D21" s="60" t="s">
        <v>711</v>
      </c>
      <c r="E21" s="61" t="s">
        <v>351</v>
      </c>
      <c r="F21" s="60" t="s">
        <v>485</v>
      </c>
      <c r="G21" s="60" t="s">
        <v>24</v>
      </c>
      <c r="H21" s="60" t="s">
        <v>34</v>
      </c>
      <c r="I21" s="60" t="s">
        <v>755</v>
      </c>
      <c r="J21" s="61" t="s">
        <v>351</v>
      </c>
      <c r="K21" s="60" t="s">
        <v>77</v>
      </c>
      <c r="L21" s="60" t="s">
        <v>481</v>
      </c>
      <c r="M21" s="60" t="s">
        <v>78</v>
      </c>
      <c r="N21" s="60" t="s">
        <v>756</v>
      </c>
      <c r="O21" s="60" t="s">
        <v>757</v>
      </c>
      <c r="P21" s="60" t="s">
        <v>74</v>
      </c>
      <c r="Q21" s="61" t="s">
        <v>351</v>
      </c>
      <c r="R21" s="61" t="s">
        <v>351</v>
      </c>
      <c r="S21" s="61" t="s">
        <v>351</v>
      </c>
      <c r="T21" s="61" t="s">
        <v>351</v>
      </c>
      <c r="U21" s="61" t="s">
        <v>351</v>
      </c>
      <c r="V21" s="61" t="s">
        <v>351</v>
      </c>
      <c r="W21" s="61" t="s">
        <v>351</v>
      </c>
      <c r="X21" s="61" t="s">
        <v>351</v>
      </c>
      <c r="Y21" s="61" t="s">
        <v>351</v>
      </c>
      <c r="Z21" s="60"/>
      <c r="AA21" s="60" t="s">
        <v>758</v>
      </c>
    </row>
    <row r="22" spans="1:27" ht="22" customHeight="1" x14ac:dyDescent="0.2">
      <c r="A22" s="58" t="s">
        <v>753</v>
      </c>
      <c r="B22" s="59" t="s">
        <v>351</v>
      </c>
      <c r="C22" s="60" t="s">
        <v>764</v>
      </c>
      <c r="D22" s="60" t="s">
        <v>710</v>
      </c>
      <c r="E22" s="61" t="s">
        <v>351</v>
      </c>
      <c r="F22" s="60" t="s">
        <v>485</v>
      </c>
      <c r="G22" s="60" t="s">
        <v>24</v>
      </c>
      <c r="H22" s="60" t="s">
        <v>34</v>
      </c>
      <c r="I22" s="60" t="s">
        <v>755</v>
      </c>
      <c r="J22" s="61" t="s">
        <v>351</v>
      </c>
      <c r="K22" s="60" t="s">
        <v>77</v>
      </c>
      <c r="L22" s="60" t="s">
        <v>481</v>
      </c>
      <c r="M22" s="60" t="s">
        <v>78</v>
      </c>
      <c r="N22" s="60" t="s">
        <v>756</v>
      </c>
      <c r="O22" s="60" t="s">
        <v>757</v>
      </c>
      <c r="P22" s="60" t="s">
        <v>74</v>
      </c>
      <c r="Q22" s="61" t="s">
        <v>351</v>
      </c>
      <c r="R22" s="61" t="s">
        <v>351</v>
      </c>
      <c r="S22" s="61" t="s">
        <v>351</v>
      </c>
      <c r="T22" s="61" t="s">
        <v>351</v>
      </c>
      <c r="U22" s="61" t="s">
        <v>351</v>
      </c>
      <c r="V22" s="61" t="s">
        <v>351</v>
      </c>
      <c r="W22" s="61" t="s">
        <v>351</v>
      </c>
      <c r="X22" s="61" t="s">
        <v>351</v>
      </c>
      <c r="Y22" s="61" t="s">
        <v>351</v>
      </c>
      <c r="Z22" s="60"/>
      <c r="AA22" s="60" t="s">
        <v>758</v>
      </c>
    </row>
    <row r="23" spans="1:27" ht="22" customHeight="1" x14ac:dyDescent="0.2">
      <c r="A23" s="58" t="s">
        <v>753</v>
      </c>
      <c r="B23" s="59" t="s">
        <v>351</v>
      </c>
      <c r="C23" s="60" t="s">
        <v>765</v>
      </c>
      <c r="D23" s="60" t="s">
        <v>710</v>
      </c>
      <c r="E23" s="61" t="s">
        <v>351</v>
      </c>
      <c r="F23" s="60" t="s">
        <v>485</v>
      </c>
      <c r="G23" s="60" t="s">
        <v>24</v>
      </c>
      <c r="H23" s="60" t="s">
        <v>34</v>
      </c>
      <c r="I23" s="60" t="s">
        <v>755</v>
      </c>
      <c r="J23" s="61" t="s">
        <v>351</v>
      </c>
      <c r="K23" s="60" t="s">
        <v>77</v>
      </c>
      <c r="L23" s="60" t="s">
        <v>481</v>
      </c>
      <c r="M23" s="60" t="s">
        <v>78</v>
      </c>
      <c r="N23" s="60" t="s">
        <v>756</v>
      </c>
      <c r="O23" s="60" t="s">
        <v>757</v>
      </c>
      <c r="P23" s="60" t="s">
        <v>74</v>
      </c>
      <c r="Q23" s="61" t="s">
        <v>351</v>
      </c>
      <c r="R23" s="61" t="s">
        <v>351</v>
      </c>
      <c r="S23" s="61" t="s">
        <v>351</v>
      </c>
      <c r="T23" s="61" t="s">
        <v>351</v>
      </c>
      <c r="U23" s="61" t="s">
        <v>351</v>
      </c>
      <c r="V23" s="61" t="s">
        <v>351</v>
      </c>
      <c r="W23" s="61" t="s">
        <v>351</v>
      </c>
      <c r="X23" s="61" t="s">
        <v>351</v>
      </c>
      <c r="Y23" s="61" t="s">
        <v>351</v>
      </c>
      <c r="Z23" s="60"/>
      <c r="AA23" s="60" t="s">
        <v>758</v>
      </c>
    </row>
    <row r="24" spans="1:27" ht="22" customHeight="1" x14ac:dyDescent="0.2">
      <c r="A24" s="58" t="s">
        <v>753</v>
      </c>
      <c r="B24" s="59" t="s">
        <v>351</v>
      </c>
      <c r="C24" s="60" t="s">
        <v>713</v>
      </c>
      <c r="D24" s="60" t="s">
        <v>714</v>
      </c>
      <c r="E24" s="61" t="s">
        <v>351</v>
      </c>
      <c r="F24" s="60" t="s">
        <v>70</v>
      </c>
      <c r="G24" s="60" t="s">
        <v>24</v>
      </c>
      <c r="H24" s="60" t="s">
        <v>34</v>
      </c>
      <c r="I24" s="60" t="s">
        <v>766</v>
      </c>
      <c r="J24" s="60" t="s">
        <v>495</v>
      </c>
      <c r="K24" s="60" t="s">
        <v>72</v>
      </c>
      <c r="L24" s="60" t="s">
        <v>481</v>
      </c>
      <c r="M24" s="60" t="s">
        <v>73</v>
      </c>
      <c r="N24" s="60" t="s">
        <v>756</v>
      </c>
      <c r="O24" s="60" t="s">
        <v>757</v>
      </c>
      <c r="P24" s="60" t="s">
        <v>74</v>
      </c>
      <c r="Q24" s="61" t="s">
        <v>351</v>
      </c>
      <c r="R24" s="61" t="s">
        <v>351</v>
      </c>
      <c r="S24" s="61" t="s">
        <v>351</v>
      </c>
      <c r="T24" s="61" t="s">
        <v>351</v>
      </c>
      <c r="U24" s="61" t="s">
        <v>351</v>
      </c>
      <c r="V24" s="61" t="s">
        <v>351</v>
      </c>
      <c r="W24" s="61" t="s">
        <v>351</v>
      </c>
      <c r="X24" s="61" t="s">
        <v>351</v>
      </c>
      <c r="Y24" s="61" t="s">
        <v>351</v>
      </c>
      <c r="Z24" s="60" t="s">
        <v>767</v>
      </c>
      <c r="AA24" s="60" t="s">
        <v>758</v>
      </c>
    </row>
    <row r="25" spans="1:27" ht="22" customHeight="1" x14ac:dyDescent="0.2">
      <c r="A25" s="58" t="s">
        <v>753</v>
      </c>
      <c r="B25" s="59" t="s">
        <v>351</v>
      </c>
      <c r="C25" s="60" t="s">
        <v>715</v>
      </c>
      <c r="D25" s="60" t="s">
        <v>714</v>
      </c>
      <c r="E25" s="61" t="s">
        <v>351</v>
      </c>
      <c r="F25" s="60" t="s">
        <v>70</v>
      </c>
      <c r="G25" s="60" t="s">
        <v>24</v>
      </c>
      <c r="H25" s="60" t="s">
        <v>34</v>
      </c>
      <c r="I25" s="60" t="s">
        <v>766</v>
      </c>
      <c r="J25" s="60" t="s">
        <v>495</v>
      </c>
      <c r="K25" s="60" t="s">
        <v>72</v>
      </c>
      <c r="L25" s="60" t="s">
        <v>481</v>
      </c>
      <c r="M25" s="60" t="s">
        <v>73</v>
      </c>
      <c r="N25" s="60" t="s">
        <v>756</v>
      </c>
      <c r="O25" s="60" t="s">
        <v>757</v>
      </c>
      <c r="P25" s="60" t="s">
        <v>74</v>
      </c>
      <c r="Q25" s="61" t="s">
        <v>351</v>
      </c>
      <c r="R25" s="61" t="s">
        <v>351</v>
      </c>
      <c r="S25" s="61" t="s">
        <v>351</v>
      </c>
      <c r="T25" s="61" t="s">
        <v>351</v>
      </c>
      <c r="U25" s="61" t="s">
        <v>351</v>
      </c>
      <c r="V25" s="61" t="s">
        <v>351</v>
      </c>
      <c r="W25" s="61" t="s">
        <v>351</v>
      </c>
      <c r="X25" s="61" t="s">
        <v>351</v>
      </c>
      <c r="Y25" s="61" t="s">
        <v>351</v>
      </c>
      <c r="Z25" s="60" t="s">
        <v>767</v>
      </c>
      <c r="AA25" s="60" t="s">
        <v>758</v>
      </c>
    </row>
    <row r="26" spans="1:27" ht="22" customHeight="1" x14ac:dyDescent="0.2">
      <c r="A26" s="58" t="s">
        <v>753</v>
      </c>
      <c r="B26" s="59" t="s">
        <v>351</v>
      </c>
      <c r="C26" s="60" t="s">
        <v>507</v>
      </c>
      <c r="D26" s="60" t="s">
        <v>714</v>
      </c>
      <c r="E26" s="61" t="s">
        <v>351</v>
      </c>
      <c r="F26" s="60" t="s">
        <v>70</v>
      </c>
      <c r="G26" s="60" t="s">
        <v>24</v>
      </c>
      <c r="H26" s="60" t="s">
        <v>34</v>
      </c>
      <c r="I26" s="60" t="s">
        <v>766</v>
      </c>
      <c r="J26" s="60" t="s">
        <v>495</v>
      </c>
      <c r="K26" s="60" t="s">
        <v>72</v>
      </c>
      <c r="L26" s="60" t="s">
        <v>481</v>
      </c>
      <c r="M26" s="60" t="s">
        <v>73</v>
      </c>
      <c r="N26" s="60" t="s">
        <v>756</v>
      </c>
      <c r="O26" s="60" t="s">
        <v>757</v>
      </c>
      <c r="P26" s="60" t="s">
        <v>74</v>
      </c>
      <c r="Q26" s="61" t="s">
        <v>351</v>
      </c>
      <c r="R26" s="61" t="s">
        <v>351</v>
      </c>
      <c r="S26" s="61" t="s">
        <v>351</v>
      </c>
      <c r="T26" s="61" t="s">
        <v>351</v>
      </c>
      <c r="U26" s="61" t="s">
        <v>351</v>
      </c>
      <c r="V26" s="61" t="s">
        <v>351</v>
      </c>
      <c r="W26" s="61" t="s">
        <v>351</v>
      </c>
      <c r="X26" s="61" t="s">
        <v>351</v>
      </c>
      <c r="Y26" s="61" t="s">
        <v>351</v>
      </c>
      <c r="Z26" s="60" t="s">
        <v>767</v>
      </c>
      <c r="AA26" s="60" t="s">
        <v>758</v>
      </c>
    </row>
    <row r="27" spans="1:27" ht="22" customHeight="1" x14ac:dyDescent="0.2">
      <c r="A27" s="58" t="s">
        <v>753</v>
      </c>
      <c r="B27" s="59" t="s">
        <v>351</v>
      </c>
      <c r="C27" s="60" t="s">
        <v>522</v>
      </c>
      <c r="D27" s="60" t="s">
        <v>710</v>
      </c>
      <c r="E27" s="61" t="s">
        <v>351</v>
      </c>
      <c r="F27" s="60" t="s">
        <v>70</v>
      </c>
      <c r="G27" s="60" t="s">
        <v>24</v>
      </c>
      <c r="H27" s="60" t="s">
        <v>34</v>
      </c>
      <c r="I27" s="60" t="s">
        <v>768</v>
      </c>
      <c r="J27" s="61" t="s">
        <v>351</v>
      </c>
      <c r="K27" s="60" t="s">
        <v>77</v>
      </c>
      <c r="L27" s="60" t="s">
        <v>481</v>
      </c>
      <c r="M27" s="60" t="s">
        <v>78</v>
      </c>
      <c r="N27" s="60" t="s">
        <v>756</v>
      </c>
      <c r="O27" s="60" t="s">
        <v>757</v>
      </c>
      <c r="P27" s="60" t="s">
        <v>74</v>
      </c>
      <c r="Q27" s="61" t="s">
        <v>351</v>
      </c>
      <c r="R27" s="61" t="s">
        <v>351</v>
      </c>
      <c r="S27" s="61" t="s">
        <v>351</v>
      </c>
      <c r="T27" s="61" t="s">
        <v>351</v>
      </c>
      <c r="U27" s="61" t="s">
        <v>351</v>
      </c>
      <c r="V27" s="61" t="s">
        <v>351</v>
      </c>
      <c r="W27" s="61" t="s">
        <v>351</v>
      </c>
      <c r="X27" s="61" t="s">
        <v>351</v>
      </c>
      <c r="Y27" s="61" t="s">
        <v>351</v>
      </c>
      <c r="Z27" s="62" t="s">
        <v>769</v>
      </c>
      <c r="AA27" s="60" t="s">
        <v>758</v>
      </c>
    </row>
    <row r="28" spans="1:27" ht="22" customHeight="1" x14ac:dyDescent="0.2">
      <c r="A28" s="63" t="s">
        <v>770</v>
      </c>
      <c r="B28" s="64" t="s">
        <v>351</v>
      </c>
      <c r="C28" s="65" t="s">
        <v>771</v>
      </c>
      <c r="D28" s="65" t="s">
        <v>710</v>
      </c>
      <c r="E28" s="66" t="s">
        <v>351</v>
      </c>
      <c r="F28" s="65" t="s">
        <v>70</v>
      </c>
      <c r="G28" s="65" t="s">
        <v>354</v>
      </c>
      <c r="H28" s="65" t="s">
        <v>772</v>
      </c>
      <c r="I28" s="65" t="s">
        <v>773</v>
      </c>
      <c r="J28" s="66" t="s">
        <v>351</v>
      </c>
      <c r="K28" s="65" t="s">
        <v>72</v>
      </c>
      <c r="L28" s="65" t="s">
        <v>481</v>
      </c>
      <c r="M28" s="65" t="s">
        <v>73</v>
      </c>
      <c r="N28" s="65" t="s">
        <v>756</v>
      </c>
      <c r="O28" s="65" t="s">
        <v>757</v>
      </c>
      <c r="P28" s="65" t="s">
        <v>74</v>
      </c>
      <c r="Q28" s="66" t="s">
        <v>351</v>
      </c>
      <c r="R28" s="66" t="s">
        <v>351</v>
      </c>
      <c r="S28" s="66" t="s">
        <v>351</v>
      </c>
      <c r="T28" s="66" t="s">
        <v>351</v>
      </c>
      <c r="U28" s="66" t="s">
        <v>351</v>
      </c>
      <c r="V28" s="66" t="s">
        <v>351</v>
      </c>
      <c r="W28" s="66" t="s">
        <v>351</v>
      </c>
      <c r="X28" s="66" t="s">
        <v>351</v>
      </c>
      <c r="Y28" s="66" t="s">
        <v>351</v>
      </c>
      <c r="Z28" s="67" t="s">
        <v>774</v>
      </c>
      <c r="AA28" s="65" t="s">
        <v>758</v>
      </c>
    </row>
    <row r="29" spans="1:27" ht="22" customHeight="1" x14ac:dyDescent="0.2">
      <c r="A29" s="63" t="s">
        <v>770</v>
      </c>
      <c r="B29" s="64" t="s">
        <v>351</v>
      </c>
      <c r="C29" s="65" t="s">
        <v>76</v>
      </c>
      <c r="D29" s="65" t="s">
        <v>710</v>
      </c>
      <c r="E29" s="66" t="s">
        <v>351</v>
      </c>
      <c r="F29" s="65" t="s">
        <v>70</v>
      </c>
      <c r="G29" s="65" t="s">
        <v>25</v>
      </c>
      <c r="H29" s="65" t="s">
        <v>772</v>
      </c>
      <c r="I29" s="65" t="s">
        <v>768</v>
      </c>
      <c r="J29" s="66" t="s">
        <v>351</v>
      </c>
      <c r="K29" s="65" t="s">
        <v>77</v>
      </c>
      <c r="L29" s="65" t="s">
        <v>481</v>
      </c>
      <c r="M29" s="65" t="s">
        <v>78</v>
      </c>
      <c r="N29" s="65" t="s">
        <v>756</v>
      </c>
      <c r="O29" s="65" t="s">
        <v>757</v>
      </c>
      <c r="P29" s="65" t="s">
        <v>74</v>
      </c>
      <c r="Q29" s="66" t="s">
        <v>351</v>
      </c>
      <c r="R29" s="66" t="s">
        <v>351</v>
      </c>
      <c r="S29" s="66" t="s">
        <v>351</v>
      </c>
      <c r="T29" s="66" t="s">
        <v>351</v>
      </c>
      <c r="U29" s="66" t="s">
        <v>351</v>
      </c>
      <c r="V29" s="66" t="s">
        <v>351</v>
      </c>
      <c r="W29" s="66" t="s">
        <v>351</v>
      </c>
      <c r="X29" s="66" t="s">
        <v>351</v>
      </c>
      <c r="Y29" s="66" t="s">
        <v>351</v>
      </c>
      <c r="Z29" s="67" t="s">
        <v>775</v>
      </c>
      <c r="AA29" s="65" t="s">
        <v>758</v>
      </c>
    </row>
    <row r="30" spans="1:27" ht="22" customHeight="1" x14ac:dyDescent="0.2">
      <c r="A30" s="63" t="s">
        <v>770</v>
      </c>
      <c r="B30" s="64" t="s">
        <v>351</v>
      </c>
      <c r="C30" s="65" t="s">
        <v>82</v>
      </c>
      <c r="D30" s="65" t="s">
        <v>710</v>
      </c>
      <c r="E30" s="66" t="s">
        <v>351</v>
      </c>
      <c r="F30" s="66" t="s">
        <v>351</v>
      </c>
      <c r="G30" s="65" t="s">
        <v>25</v>
      </c>
      <c r="H30" s="65" t="s">
        <v>772</v>
      </c>
      <c r="I30" s="65" t="s">
        <v>755</v>
      </c>
      <c r="J30" s="66" t="s">
        <v>351</v>
      </c>
      <c r="K30" s="65" t="s">
        <v>72</v>
      </c>
      <c r="L30" s="65" t="s">
        <v>481</v>
      </c>
      <c r="M30" s="65" t="s">
        <v>73</v>
      </c>
      <c r="N30" s="65" t="s">
        <v>756</v>
      </c>
      <c r="O30" s="65" t="s">
        <v>757</v>
      </c>
      <c r="P30" s="65" t="s">
        <v>74</v>
      </c>
      <c r="Q30" s="66" t="s">
        <v>351</v>
      </c>
      <c r="R30" s="66" t="s">
        <v>351</v>
      </c>
      <c r="S30" s="66" t="s">
        <v>351</v>
      </c>
      <c r="T30" s="66" t="s">
        <v>351</v>
      </c>
      <c r="U30" s="66" t="s">
        <v>351</v>
      </c>
      <c r="V30" s="66" t="s">
        <v>351</v>
      </c>
      <c r="W30" s="66" t="s">
        <v>351</v>
      </c>
      <c r="X30" s="66" t="s">
        <v>351</v>
      </c>
      <c r="Y30" s="66" t="s">
        <v>351</v>
      </c>
      <c r="Z30" s="65"/>
      <c r="AA30" s="65" t="s">
        <v>758</v>
      </c>
    </row>
    <row r="31" spans="1:27" ht="22" customHeight="1" x14ac:dyDescent="0.2">
      <c r="A31" s="63" t="s">
        <v>770</v>
      </c>
      <c r="B31" s="64" t="s">
        <v>351</v>
      </c>
      <c r="C31" s="65" t="s">
        <v>776</v>
      </c>
      <c r="D31" s="65" t="s">
        <v>711</v>
      </c>
      <c r="E31" s="66" t="s">
        <v>351</v>
      </c>
      <c r="F31" s="66" t="s">
        <v>351</v>
      </c>
      <c r="G31" s="65" t="s">
        <v>25</v>
      </c>
      <c r="H31" s="65" t="s">
        <v>772</v>
      </c>
      <c r="I31" s="65" t="s">
        <v>755</v>
      </c>
      <c r="J31" s="66" t="s">
        <v>351</v>
      </c>
      <c r="K31" s="65" t="s">
        <v>77</v>
      </c>
      <c r="L31" s="65" t="s">
        <v>481</v>
      </c>
      <c r="M31" s="65" t="s">
        <v>78</v>
      </c>
      <c r="N31" s="65" t="s">
        <v>756</v>
      </c>
      <c r="O31" s="65" t="s">
        <v>757</v>
      </c>
      <c r="P31" s="65" t="s">
        <v>74</v>
      </c>
      <c r="Q31" s="66" t="s">
        <v>351</v>
      </c>
      <c r="R31" s="66" t="s">
        <v>351</v>
      </c>
      <c r="S31" s="66" t="s">
        <v>351</v>
      </c>
      <c r="T31" s="66" t="s">
        <v>351</v>
      </c>
      <c r="U31" s="66" t="s">
        <v>351</v>
      </c>
      <c r="V31" s="66" t="s">
        <v>351</v>
      </c>
      <c r="W31" s="66" t="s">
        <v>351</v>
      </c>
      <c r="X31" s="66" t="s">
        <v>351</v>
      </c>
      <c r="Y31" s="66" t="s">
        <v>351</v>
      </c>
      <c r="Z31" s="67" t="s">
        <v>777</v>
      </c>
      <c r="AA31" s="65" t="s">
        <v>758</v>
      </c>
    </row>
    <row r="32" spans="1:27" ht="22" customHeight="1" x14ac:dyDescent="0.2">
      <c r="A32" s="68" t="s">
        <v>778</v>
      </c>
      <c r="B32" s="69" t="s">
        <v>351</v>
      </c>
      <c r="C32" s="70" t="s">
        <v>529</v>
      </c>
      <c r="D32" s="70" t="s">
        <v>710</v>
      </c>
      <c r="E32" s="71" t="s">
        <v>351</v>
      </c>
      <c r="F32" s="70" t="s">
        <v>70</v>
      </c>
      <c r="G32" s="70" t="s">
        <v>25</v>
      </c>
      <c r="H32" s="70" t="s">
        <v>772</v>
      </c>
      <c r="I32" s="70" t="s">
        <v>773</v>
      </c>
      <c r="J32" s="71" t="s">
        <v>351</v>
      </c>
      <c r="K32" s="70" t="s">
        <v>72</v>
      </c>
      <c r="L32" s="70" t="s">
        <v>481</v>
      </c>
      <c r="M32" s="70" t="s">
        <v>73</v>
      </c>
      <c r="N32" s="70" t="s">
        <v>756</v>
      </c>
      <c r="O32" s="70" t="s">
        <v>757</v>
      </c>
      <c r="P32" s="70" t="s">
        <v>74</v>
      </c>
      <c r="Q32" s="71" t="s">
        <v>351</v>
      </c>
      <c r="R32" s="71" t="s">
        <v>351</v>
      </c>
      <c r="S32" s="71" t="s">
        <v>351</v>
      </c>
      <c r="T32" s="71" t="s">
        <v>351</v>
      </c>
      <c r="U32" s="71" t="s">
        <v>351</v>
      </c>
      <c r="V32" s="71" t="s">
        <v>351</v>
      </c>
      <c r="W32" s="71" t="s">
        <v>351</v>
      </c>
      <c r="X32" s="71" t="s">
        <v>351</v>
      </c>
      <c r="Y32" s="71" t="s">
        <v>351</v>
      </c>
      <c r="Z32" s="70" t="s">
        <v>779</v>
      </c>
      <c r="AA32" s="70" t="s">
        <v>758</v>
      </c>
    </row>
    <row r="33" spans="1:27" ht="22" customHeight="1" x14ac:dyDescent="0.2">
      <c r="A33" s="68" t="s">
        <v>778</v>
      </c>
      <c r="B33" s="69" t="s">
        <v>351</v>
      </c>
      <c r="C33" s="70" t="s">
        <v>780</v>
      </c>
      <c r="D33" s="70" t="s">
        <v>711</v>
      </c>
      <c r="E33" s="71" t="s">
        <v>351</v>
      </c>
      <c r="F33" s="70" t="s">
        <v>485</v>
      </c>
      <c r="G33" s="70" t="s">
        <v>92</v>
      </c>
      <c r="H33" s="70" t="s">
        <v>772</v>
      </c>
      <c r="I33" s="70" t="s">
        <v>755</v>
      </c>
      <c r="J33" s="71" t="s">
        <v>351</v>
      </c>
      <c r="K33" s="70" t="s">
        <v>77</v>
      </c>
      <c r="L33" s="70" t="s">
        <v>481</v>
      </c>
      <c r="M33" s="70" t="s">
        <v>78</v>
      </c>
      <c r="N33" s="70" t="s">
        <v>756</v>
      </c>
      <c r="O33" s="70" t="s">
        <v>757</v>
      </c>
      <c r="P33" s="70" t="s">
        <v>74</v>
      </c>
      <c r="Q33" s="71" t="s">
        <v>351</v>
      </c>
      <c r="R33" s="71" t="s">
        <v>351</v>
      </c>
      <c r="S33" s="71" t="s">
        <v>351</v>
      </c>
      <c r="T33" s="71" t="s">
        <v>351</v>
      </c>
      <c r="U33" s="71" t="s">
        <v>351</v>
      </c>
      <c r="V33" s="71" t="s">
        <v>351</v>
      </c>
      <c r="W33" s="71" t="s">
        <v>351</v>
      </c>
      <c r="X33" s="71" t="s">
        <v>351</v>
      </c>
      <c r="Y33" s="71" t="s">
        <v>351</v>
      </c>
      <c r="Z33" s="70"/>
      <c r="AA33" s="70" t="s">
        <v>758</v>
      </c>
    </row>
    <row r="34" spans="1:27" ht="22" customHeight="1" x14ac:dyDescent="0.2">
      <c r="A34" s="68" t="s">
        <v>778</v>
      </c>
      <c r="B34" s="69" t="s">
        <v>351</v>
      </c>
      <c r="C34" s="70" t="s">
        <v>781</v>
      </c>
      <c r="D34" s="70" t="s">
        <v>711</v>
      </c>
      <c r="E34" s="71" t="s">
        <v>351</v>
      </c>
      <c r="F34" s="70" t="s">
        <v>485</v>
      </c>
      <c r="G34" s="70" t="s">
        <v>92</v>
      </c>
      <c r="H34" s="70" t="s">
        <v>772</v>
      </c>
      <c r="I34" s="70" t="s">
        <v>755</v>
      </c>
      <c r="J34" s="71" t="s">
        <v>351</v>
      </c>
      <c r="K34" s="70" t="s">
        <v>77</v>
      </c>
      <c r="L34" s="70" t="s">
        <v>481</v>
      </c>
      <c r="M34" s="70" t="s">
        <v>78</v>
      </c>
      <c r="N34" s="70" t="s">
        <v>756</v>
      </c>
      <c r="O34" s="70" t="s">
        <v>757</v>
      </c>
      <c r="P34" s="70" t="s">
        <v>74</v>
      </c>
      <c r="Q34" s="71" t="s">
        <v>351</v>
      </c>
      <c r="R34" s="71" t="s">
        <v>351</v>
      </c>
      <c r="S34" s="71" t="s">
        <v>351</v>
      </c>
      <c r="T34" s="71" t="s">
        <v>351</v>
      </c>
      <c r="U34" s="71" t="s">
        <v>351</v>
      </c>
      <c r="V34" s="71" t="s">
        <v>351</v>
      </c>
      <c r="W34" s="71" t="s">
        <v>351</v>
      </c>
      <c r="X34" s="71" t="s">
        <v>351</v>
      </c>
      <c r="Y34" s="71" t="s">
        <v>351</v>
      </c>
      <c r="Z34" s="70"/>
      <c r="AA34" s="70" t="s">
        <v>758</v>
      </c>
    </row>
    <row r="35" spans="1:27" ht="22" customHeight="1" x14ac:dyDescent="0.2">
      <c r="A35" s="68" t="s">
        <v>778</v>
      </c>
      <c r="B35" s="69" t="s">
        <v>351</v>
      </c>
      <c r="C35" s="70" t="s">
        <v>782</v>
      </c>
      <c r="D35" s="70" t="s">
        <v>711</v>
      </c>
      <c r="E35" s="71" t="s">
        <v>351</v>
      </c>
      <c r="F35" s="70" t="s">
        <v>485</v>
      </c>
      <c r="G35" s="70" t="s">
        <v>92</v>
      </c>
      <c r="H35" s="70" t="s">
        <v>772</v>
      </c>
      <c r="I35" s="70" t="s">
        <v>755</v>
      </c>
      <c r="J35" s="71" t="s">
        <v>351</v>
      </c>
      <c r="K35" s="70" t="s">
        <v>77</v>
      </c>
      <c r="L35" s="70" t="s">
        <v>481</v>
      </c>
      <c r="M35" s="70" t="s">
        <v>78</v>
      </c>
      <c r="N35" s="70" t="s">
        <v>756</v>
      </c>
      <c r="O35" s="70" t="s">
        <v>757</v>
      </c>
      <c r="P35" s="70" t="s">
        <v>74</v>
      </c>
      <c r="Q35" s="71" t="s">
        <v>351</v>
      </c>
      <c r="R35" s="71" t="s">
        <v>351</v>
      </c>
      <c r="S35" s="71" t="s">
        <v>351</v>
      </c>
      <c r="T35" s="71" t="s">
        <v>351</v>
      </c>
      <c r="U35" s="71" t="s">
        <v>351</v>
      </c>
      <c r="V35" s="71" t="s">
        <v>351</v>
      </c>
      <c r="W35" s="71" t="s">
        <v>351</v>
      </c>
      <c r="X35" s="71" t="s">
        <v>351</v>
      </c>
      <c r="Y35" s="71" t="s">
        <v>351</v>
      </c>
      <c r="Z35" s="70"/>
      <c r="AA35" s="70" t="s">
        <v>758</v>
      </c>
    </row>
    <row r="36" spans="1:27" ht="22" customHeight="1" x14ac:dyDescent="0.2">
      <c r="A36" s="68" t="s">
        <v>778</v>
      </c>
      <c r="B36" s="69" t="s">
        <v>351</v>
      </c>
      <c r="C36" s="70" t="s">
        <v>783</v>
      </c>
      <c r="D36" s="70" t="s">
        <v>711</v>
      </c>
      <c r="E36" s="71" t="s">
        <v>351</v>
      </c>
      <c r="F36" s="70" t="s">
        <v>485</v>
      </c>
      <c r="G36" s="70" t="s">
        <v>92</v>
      </c>
      <c r="H36" s="70" t="s">
        <v>772</v>
      </c>
      <c r="I36" s="70" t="s">
        <v>755</v>
      </c>
      <c r="J36" s="71" t="s">
        <v>351</v>
      </c>
      <c r="K36" s="70" t="s">
        <v>77</v>
      </c>
      <c r="L36" s="70" t="s">
        <v>481</v>
      </c>
      <c r="M36" s="70" t="s">
        <v>78</v>
      </c>
      <c r="N36" s="70" t="s">
        <v>756</v>
      </c>
      <c r="O36" s="70" t="s">
        <v>757</v>
      </c>
      <c r="P36" s="70" t="s">
        <v>74</v>
      </c>
      <c r="Q36" s="71" t="s">
        <v>351</v>
      </c>
      <c r="R36" s="71" t="s">
        <v>351</v>
      </c>
      <c r="S36" s="71" t="s">
        <v>351</v>
      </c>
      <c r="T36" s="71" t="s">
        <v>351</v>
      </c>
      <c r="U36" s="71" t="s">
        <v>351</v>
      </c>
      <c r="V36" s="71" t="s">
        <v>351</v>
      </c>
      <c r="W36" s="71" t="s">
        <v>351</v>
      </c>
      <c r="X36" s="71" t="s">
        <v>351</v>
      </c>
      <c r="Y36" s="71" t="s">
        <v>351</v>
      </c>
      <c r="Z36" s="70"/>
      <c r="AA36" s="70" t="s">
        <v>758</v>
      </c>
    </row>
    <row r="37" spans="1:27" ht="22" customHeight="1" x14ac:dyDescent="0.2">
      <c r="A37" s="68" t="s">
        <v>778</v>
      </c>
      <c r="B37" s="69" t="s">
        <v>351</v>
      </c>
      <c r="C37" s="70" t="s">
        <v>784</v>
      </c>
      <c r="D37" s="70" t="s">
        <v>714</v>
      </c>
      <c r="E37" s="71" t="s">
        <v>351</v>
      </c>
      <c r="F37" s="71" t="s">
        <v>351</v>
      </c>
      <c r="G37" s="70" t="s">
        <v>357</v>
      </c>
      <c r="H37" s="70" t="s">
        <v>356</v>
      </c>
      <c r="I37" s="71" t="s">
        <v>351</v>
      </c>
      <c r="J37" s="70" t="s">
        <v>495</v>
      </c>
      <c r="K37" s="70" t="s">
        <v>72</v>
      </c>
      <c r="L37" s="70" t="s">
        <v>481</v>
      </c>
      <c r="M37" s="70" t="s">
        <v>73</v>
      </c>
      <c r="N37" s="70" t="s">
        <v>756</v>
      </c>
      <c r="O37" s="70" t="s">
        <v>757</v>
      </c>
      <c r="P37" s="70" t="s">
        <v>74</v>
      </c>
      <c r="Q37" s="71" t="s">
        <v>351</v>
      </c>
      <c r="R37" s="71" t="s">
        <v>351</v>
      </c>
      <c r="S37" s="71" t="s">
        <v>351</v>
      </c>
      <c r="T37" s="71" t="s">
        <v>351</v>
      </c>
      <c r="U37" s="71" t="s">
        <v>351</v>
      </c>
      <c r="V37" s="71" t="s">
        <v>351</v>
      </c>
      <c r="W37" s="71" t="s">
        <v>351</v>
      </c>
      <c r="X37" s="71" t="s">
        <v>351</v>
      </c>
      <c r="Y37" s="71" t="s">
        <v>351</v>
      </c>
      <c r="Z37" s="70" t="s">
        <v>785</v>
      </c>
      <c r="AA37" s="70" t="s">
        <v>758</v>
      </c>
    </row>
    <row r="38" spans="1:27" ht="22" customHeight="1" x14ac:dyDescent="0.2">
      <c r="A38" s="68" t="s">
        <v>778</v>
      </c>
      <c r="B38" s="69" t="s">
        <v>351</v>
      </c>
      <c r="C38" s="70" t="s">
        <v>82</v>
      </c>
      <c r="D38" s="70" t="s">
        <v>710</v>
      </c>
      <c r="E38" s="71" t="s">
        <v>351</v>
      </c>
      <c r="F38" s="71" t="s">
        <v>351</v>
      </c>
      <c r="G38" s="70" t="s">
        <v>25</v>
      </c>
      <c r="H38" s="70" t="s">
        <v>772</v>
      </c>
      <c r="I38" s="70" t="s">
        <v>755</v>
      </c>
      <c r="J38" s="71" t="s">
        <v>351</v>
      </c>
      <c r="K38" s="70" t="s">
        <v>72</v>
      </c>
      <c r="L38" s="70" t="s">
        <v>481</v>
      </c>
      <c r="M38" s="70" t="s">
        <v>73</v>
      </c>
      <c r="N38" s="70" t="s">
        <v>756</v>
      </c>
      <c r="O38" s="70" t="s">
        <v>757</v>
      </c>
      <c r="P38" s="70" t="s">
        <v>74</v>
      </c>
      <c r="Q38" s="71" t="s">
        <v>351</v>
      </c>
      <c r="R38" s="71" t="s">
        <v>351</v>
      </c>
      <c r="S38" s="71" t="s">
        <v>351</v>
      </c>
      <c r="T38" s="71" t="s">
        <v>351</v>
      </c>
      <c r="U38" s="71" t="s">
        <v>351</v>
      </c>
      <c r="V38" s="71" t="s">
        <v>351</v>
      </c>
      <c r="W38" s="71" t="s">
        <v>351</v>
      </c>
      <c r="X38" s="71" t="s">
        <v>351</v>
      </c>
      <c r="Y38" s="71" t="s">
        <v>351</v>
      </c>
      <c r="Z38" s="70"/>
      <c r="AA38" s="70" t="s">
        <v>758</v>
      </c>
    </row>
    <row r="39" spans="1:27" ht="22" customHeight="1" x14ac:dyDescent="0.2">
      <c r="A39" s="68" t="s">
        <v>778</v>
      </c>
      <c r="B39" s="69" t="s">
        <v>351</v>
      </c>
      <c r="C39" s="70" t="s">
        <v>91</v>
      </c>
      <c r="D39" s="70" t="s">
        <v>711</v>
      </c>
      <c r="E39" s="71" t="s">
        <v>351</v>
      </c>
      <c r="F39" s="70" t="s">
        <v>485</v>
      </c>
      <c r="G39" s="70" t="s">
        <v>24</v>
      </c>
      <c r="H39" s="70" t="s">
        <v>356</v>
      </c>
      <c r="I39" s="70" t="s">
        <v>755</v>
      </c>
      <c r="J39" s="71" t="s">
        <v>351</v>
      </c>
      <c r="K39" s="70" t="s">
        <v>77</v>
      </c>
      <c r="L39" s="70" t="s">
        <v>481</v>
      </c>
      <c r="M39" s="70" t="s">
        <v>78</v>
      </c>
      <c r="N39" s="70" t="s">
        <v>756</v>
      </c>
      <c r="O39" s="70" t="s">
        <v>757</v>
      </c>
      <c r="P39" s="70" t="s">
        <v>74</v>
      </c>
      <c r="Q39" s="71" t="s">
        <v>351</v>
      </c>
      <c r="R39" s="71" t="s">
        <v>351</v>
      </c>
      <c r="S39" s="71" t="s">
        <v>351</v>
      </c>
      <c r="T39" s="71" t="s">
        <v>351</v>
      </c>
      <c r="U39" s="71" t="s">
        <v>351</v>
      </c>
      <c r="V39" s="71" t="s">
        <v>351</v>
      </c>
      <c r="W39" s="71" t="s">
        <v>351</v>
      </c>
      <c r="X39" s="71" t="s">
        <v>351</v>
      </c>
      <c r="Y39" s="71" t="s">
        <v>351</v>
      </c>
      <c r="Z39" s="72" t="s">
        <v>786</v>
      </c>
      <c r="AA39" s="70" t="s">
        <v>758</v>
      </c>
    </row>
    <row r="40" spans="1:27" ht="22" customHeight="1" x14ac:dyDescent="0.2">
      <c r="A40" s="68" t="s">
        <v>778</v>
      </c>
      <c r="B40" s="69" t="s">
        <v>351</v>
      </c>
      <c r="C40" s="70" t="s">
        <v>776</v>
      </c>
      <c r="D40" s="70" t="s">
        <v>711</v>
      </c>
      <c r="E40" s="71" t="s">
        <v>351</v>
      </c>
      <c r="F40" s="70" t="s">
        <v>485</v>
      </c>
      <c r="G40" s="70" t="s">
        <v>206</v>
      </c>
      <c r="H40" s="70" t="s">
        <v>772</v>
      </c>
      <c r="I40" s="70" t="s">
        <v>755</v>
      </c>
      <c r="J40" s="71" t="s">
        <v>351</v>
      </c>
      <c r="K40" s="70" t="s">
        <v>77</v>
      </c>
      <c r="L40" s="70" t="s">
        <v>481</v>
      </c>
      <c r="M40" s="70" t="s">
        <v>78</v>
      </c>
      <c r="N40" s="70" t="s">
        <v>757</v>
      </c>
      <c r="O40" s="70" t="s">
        <v>757</v>
      </c>
      <c r="P40" s="70" t="s">
        <v>74</v>
      </c>
      <c r="Q40" s="71" t="s">
        <v>351</v>
      </c>
      <c r="R40" s="71" t="s">
        <v>351</v>
      </c>
      <c r="S40" s="71" t="s">
        <v>351</v>
      </c>
      <c r="T40" s="71" t="s">
        <v>351</v>
      </c>
      <c r="U40" s="71" t="s">
        <v>351</v>
      </c>
      <c r="V40" s="71" t="s">
        <v>351</v>
      </c>
      <c r="W40" s="71" t="s">
        <v>351</v>
      </c>
      <c r="X40" s="71" t="s">
        <v>351</v>
      </c>
      <c r="Y40" s="71" t="s">
        <v>351</v>
      </c>
      <c r="Z40" s="70" t="s">
        <v>787</v>
      </c>
      <c r="AA40" s="70" t="s">
        <v>758</v>
      </c>
    </row>
    <row r="41" spans="1:27" ht="22" customHeight="1" x14ac:dyDescent="0.2">
      <c r="A41" s="68" t="s">
        <v>778</v>
      </c>
      <c r="B41" s="69" t="s">
        <v>351</v>
      </c>
      <c r="C41" s="70" t="s">
        <v>788</v>
      </c>
      <c r="D41" s="70" t="s">
        <v>711</v>
      </c>
      <c r="E41" s="71" t="s">
        <v>351</v>
      </c>
      <c r="F41" s="70" t="s">
        <v>485</v>
      </c>
      <c r="G41" s="70" t="s">
        <v>354</v>
      </c>
      <c r="H41" s="70" t="s">
        <v>772</v>
      </c>
      <c r="I41" s="70" t="s">
        <v>755</v>
      </c>
      <c r="J41" s="71" t="s">
        <v>351</v>
      </c>
      <c r="K41" s="70" t="s">
        <v>77</v>
      </c>
      <c r="L41" s="70" t="s">
        <v>481</v>
      </c>
      <c r="M41" s="70" t="s">
        <v>78</v>
      </c>
      <c r="N41" s="70" t="s">
        <v>757</v>
      </c>
      <c r="O41" s="70" t="s">
        <v>757</v>
      </c>
      <c r="P41" s="70" t="s">
        <v>74</v>
      </c>
      <c r="Q41" s="71" t="s">
        <v>351</v>
      </c>
      <c r="R41" s="71" t="s">
        <v>351</v>
      </c>
      <c r="S41" s="71" t="s">
        <v>351</v>
      </c>
      <c r="T41" s="71" t="s">
        <v>351</v>
      </c>
      <c r="U41" s="71" t="s">
        <v>351</v>
      </c>
      <c r="V41" s="71" t="s">
        <v>351</v>
      </c>
      <c r="W41" s="71" t="s">
        <v>351</v>
      </c>
      <c r="X41" s="71" t="s">
        <v>351</v>
      </c>
      <c r="Y41" s="71" t="s">
        <v>351</v>
      </c>
      <c r="Z41" s="72" t="s">
        <v>789</v>
      </c>
      <c r="AA41" s="70" t="s">
        <v>758</v>
      </c>
    </row>
    <row r="42" spans="1:27" ht="22" customHeight="1" x14ac:dyDescent="0.2">
      <c r="A42" s="68" t="s">
        <v>778</v>
      </c>
      <c r="B42" s="69" t="s">
        <v>351</v>
      </c>
      <c r="C42" s="70" t="s">
        <v>790</v>
      </c>
      <c r="D42" s="70" t="s">
        <v>710</v>
      </c>
      <c r="E42" s="71" t="s">
        <v>351</v>
      </c>
      <c r="F42" s="70" t="s">
        <v>70</v>
      </c>
      <c r="G42" s="70" t="s">
        <v>354</v>
      </c>
      <c r="H42" s="70" t="s">
        <v>772</v>
      </c>
      <c r="I42" s="70" t="s">
        <v>773</v>
      </c>
      <c r="J42" s="71" t="s">
        <v>351</v>
      </c>
      <c r="K42" s="70" t="s">
        <v>72</v>
      </c>
      <c r="L42" s="70" t="s">
        <v>481</v>
      </c>
      <c r="M42" s="70" t="s">
        <v>73</v>
      </c>
      <c r="N42" s="70" t="s">
        <v>757</v>
      </c>
      <c r="O42" s="70" t="s">
        <v>757</v>
      </c>
      <c r="P42" s="70" t="s">
        <v>74</v>
      </c>
      <c r="Q42" s="71" t="s">
        <v>351</v>
      </c>
      <c r="R42" s="71" t="s">
        <v>351</v>
      </c>
      <c r="S42" s="71" t="s">
        <v>351</v>
      </c>
      <c r="T42" s="71" t="s">
        <v>351</v>
      </c>
      <c r="U42" s="71" t="s">
        <v>351</v>
      </c>
      <c r="V42" s="71" t="s">
        <v>351</v>
      </c>
      <c r="W42" s="71" t="s">
        <v>351</v>
      </c>
      <c r="X42" s="71" t="s">
        <v>351</v>
      </c>
      <c r="Y42" s="71" t="s">
        <v>351</v>
      </c>
      <c r="Z42" s="72" t="s">
        <v>774</v>
      </c>
      <c r="AA42" s="70" t="s">
        <v>758</v>
      </c>
    </row>
    <row r="43" spans="1:27" ht="22" customHeight="1" x14ac:dyDescent="0.2">
      <c r="A43" s="68" t="s">
        <v>778</v>
      </c>
      <c r="B43" s="69" t="s">
        <v>351</v>
      </c>
      <c r="C43" s="70" t="s">
        <v>512</v>
      </c>
      <c r="D43" s="70" t="s">
        <v>714</v>
      </c>
      <c r="E43" s="71" t="s">
        <v>351</v>
      </c>
      <c r="F43" s="70" t="s">
        <v>485</v>
      </c>
      <c r="G43" s="70" t="s">
        <v>354</v>
      </c>
      <c r="H43" s="70" t="s">
        <v>772</v>
      </c>
      <c r="I43" s="70" t="s">
        <v>755</v>
      </c>
      <c r="J43" s="71" t="s">
        <v>351</v>
      </c>
      <c r="K43" s="70" t="s">
        <v>72</v>
      </c>
      <c r="L43" s="70" t="s">
        <v>481</v>
      </c>
      <c r="M43" s="70" t="s">
        <v>73</v>
      </c>
      <c r="N43" s="70" t="s">
        <v>757</v>
      </c>
      <c r="O43" s="70" t="s">
        <v>757</v>
      </c>
      <c r="P43" s="70" t="s">
        <v>74</v>
      </c>
      <c r="Q43" s="71" t="s">
        <v>351</v>
      </c>
      <c r="R43" s="71" t="s">
        <v>351</v>
      </c>
      <c r="S43" s="71" t="s">
        <v>351</v>
      </c>
      <c r="T43" s="71" t="s">
        <v>351</v>
      </c>
      <c r="U43" s="71" t="s">
        <v>351</v>
      </c>
      <c r="V43" s="71" t="s">
        <v>351</v>
      </c>
      <c r="W43" s="71" t="s">
        <v>351</v>
      </c>
      <c r="X43" s="71" t="s">
        <v>351</v>
      </c>
      <c r="Y43" s="71" t="s">
        <v>351</v>
      </c>
      <c r="Z43" s="70"/>
      <c r="AA43" s="70" t="s">
        <v>758</v>
      </c>
    </row>
    <row r="44" spans="1:27" ht="22" customHeight="1" x14ac:dyDescent="0.2">
      <c r="A44" s="68" t="s">
        <v>778</v>
      </c>
      <c r="B44" s="69" t="s">
        <v>351</v>
      </c>
      <c r="C44" s="70" t="s">
        <v>791</v>
      </c>
      <c r="D44" s="70" t="s">
        <v>711</v>
      </c>
      <c r="E44" s="71" t="s">
        <v>351</v>
      </c>
      <c r="F44" s="70" t="s">
        <v>485</v>
      </c>
      <c r="G44" s="70" t="s">
        <v>354</v>
      </c>
      <c r="H44" s="70" t="s">
        <v>772</v>
      </c>
      <c r="I44" s="70" t="s">
        <v>755</v>
      </c>
      <c r="J44" s="71" t="s">
        <v>351</v>
      </c>
      <c r="K44" s="70" t="s">
        <v>77</v>
      </c>
      <c r="L44" s="70" t="s">
        <v>481</v>
      </c>
      <c r="M44" s="70" t="s">
        <v>78</v>
      </c>
      <c r="N44" s="70" t="s">
        <v>757</v>
      </c>
      <c r="O44" s="70" t="s">
        <v>757</v>
      </c>
      <c r="P44" s="70" t="s">
        <v>74</v>
      </c>
      <c r="Q44" s="71" t="s">
        <v>351</v>
      </c>
      <c r="R44" s="71" t="s">
        <v>351</v>
      </c>
      <c r="S44" s="71" t="s">
        <v>351</v>
      </c>
      <c r="T44" s="71" t="s">
        <v>351</v>
      </c>
      <c r="U44" s="71" t="s">
        <v>351</v>
      </c>
      <c r="V44" s="71" t="s">
        <v>351</v>
      </c>
      <c r="W44" s="71" t="s">
        <v>351</v>
      </c>
      <c r="X44" s="71" t="s">
        <v>351</v>
      </c>
      <c r="Y44" s="71" t="s">
        <v>351</v>
      </c>
      <c r="Z44" s="72" t="s">
        <v>789</v>
      </c>
      <c r="AA44" s="70" t="s">
        <v>758</v>
      </c>
    </row>
    <row r="45" spans="1:27" ht="22" customHeight="1" x14ac:dyDescent="0.2">
      <c r="A45" s="68" t="s">
        <v>778</v>
      </c>
      <c r="B45" s="69" t="s">
        <v>351</v>
      </c>
      <c r="C45" s="70" t="s">
        <v>511</v>
      </c>
      <c r="D45" s="70" t="s">
        <v>710</v>
      </c>
      <c r="E45" s="71" t="s">
        <v>351</v>
      </c>
      <c r="F45" s="70" t="s">
        <v>485</v>
      </c>
      <c r="G45" s="70" t="s">
        <v>354</v>
      </c>
      <c r="H45" s="70" t="s">
        <v>772</v>
      </c>
      <c r="I45" s="70" t="s">
        <v>755</v>
      </c>
      <c r="J45" s="71" t="s">
        <v>351</v>
      </c>
      <c r="K45" s="70" t="s">
        <v>72</v>
      </c>
      <c r="L45" s="70" t="s">
        <v>481</v>
      </c>
      <c r="M45" s="70" t="s">
        <v>73</v>
      </c>
      <c r="N45" s="70" t="s">
        <v>756</v>
      </c>
      <c r="O45" s="70" t="s">
        <v>757</v>
      </c>
      <c r="P45" s="70" t="s">
        <v>74</v>
      </c>
      <c r="Q45" s="71" t="s">
        <v>351</v>
      </c>
      <c r="R45" s="71" t="s">
        <v>351</v>
      </c>
      <c r="S45" s="71" t="s">
        <v>351</v>
      </c>
      <c r="T45" s="71" t="s">
        <v>351</v>
      </c>
      <c r="U45" s="71" t="s">
        <v>351</v>
      </c>
      <c r="V45" s="71" t="s">
        <v>351</v>
      </c>
      <c r="W45" s="71" t="s">
        <v>351</v>
      </c>
      <c r="X45" s="71" t="s">
        <v>351</v>
      </c>
      <c r="Y45" s="71" t="s">
        <v>351</v>
      </c>
      <c r="Z45" s="70"/>
      <c r="AA45" s="70" t="s">
        <v>758</v>
      </c>
    </row>
    <row r="46" spans="1:27" ht="22" customHeight="1" x14ac:dyDescent="0.2">
      <c r="A46" s="68" t="s">
        <v>778</v>
      </c>
      <c r="B46" s="69" t="s">
        <v>351</v>
      </c>
      <c r="C46" s="70" t="s">
        <v>490</v>
      </c>
      <c r="D46" s="70" t="s">
        <v>711</v>
      </c>
      <c r="E46" s="71" t="s">
        <v>351</v>
      </c>
      <c r="F46" s="70" t="s">
        <v>485</v>
      </c>
      <c r="G46" s="70" t="s">
        <v>354</v>
      </c>
      <c r="H46" s="70" t="s">
        <v>772</v>
      </c>
      <c r="I46" s="70" t="s">
        <v>755</v>
      </c>
      <c r="J46" s="71" t="s">
        <v>351</v>
      </c>
      <c r="K46" s="70" t="s">
        <v>77</v>
      </c>
      <c r="L46" s="70" t="s">
        <v>481</v>
      </c>
      <c r="M46" s="70" t="s">
        <v>78</v>
      </c>
      <c r="N46" s="70" t="s">
        <v>757</v>
      </c>
      <c r="O46" s="70" t="s">
        <v>757</v>
      </c>
      <c r="P46" s="70" t="s">
        <v>74</v>
      </c>
      <c r="Q46" s="71" t="s">
        <v>351</v>
      </c>
      <c r="R46" s="71" t="s">
        <v>351</v>
      </c>
      <c r="S46" s="71" t="s">
        <v>351</v>
      </c>
      <c r="T46" s="71" t="s">
        <v>351</v>
      </c>
      <c r="U46" s="71" t="s">
        <v>351</v>
      </c>
      <c r="V46" s="71" t="s">
        <v>351</v>
      </c>
      <c r="W46" s="71" t="s">
        <v>351</v>
      </c>
      <c r="X46" s="71" t="s">
        <v>351</v>
      </c>
      <c r="Y46" s="71" t="s">
        <v>351</v>
      </c>
      <c r="Z46" s="70" t="s">
        <v>792</v>
      </c>
      <c r="AA46" s="70" t="s">
        <v>758</v>
      </c>
    </row>
    <row r="47" spans="1:27" ht="22" customHeight="1" x14ac:dyDescent="0.2">
      <c r="A47" s="68" t="s">
        <v>778</v>
      </c>
      <c r="B47" s="69" t="s">
        <v>351</v>
      </c>
      <c r="C47" s="70" t="s">
        <v>498</v>
      </c>
      <c r="D47" s="70" t="s">
        <v>711</v>
      </c>
      <c r="E47" s="71" t="s">
        <v>351</v>
      </c>
      <c r="F47" s="70" t="s">
        <v>485</v>
      </c>
      <c r="G47" s="70" t="s">
        <v>354</v>
      </c>
      <c r="H47" s="70" t="s">
        <v>772</v>
      </c>
      <c r="I47" s="70" t="s">
        <v>755</v>
      </c>
      <c r="J47" s="71" t="s">
        <v>351</v>
      </c>
      <c r="K47" s="70" t="s">
        <v>77</v>
      </c>
      <c r="L47" s="70" t="s">
        <v>481</v>
      </c>
      <c r="M47" s="70" t="s">
        <v>78</v>
      </c>
      <c r="N47" s="70" t="s">
        <v>757</v>
      </c>
      <c r="O47" s="70" t="s">
        <v>757</v>
      </c>
      <c r="P47" s="70" t="s">
        <v>74</v>
      </c>
      <c r="Q47" s="71" t="s">
        <v>351</v>
      </c>
      <c r="R47" s="71" t="s">
        <v>351</v>
      </c>
      <c r="S47" s="71" t="s">
        <v>351</v>
      </c>
      <c r="T47" s="71" t="s">
        <v>351</v>
      </c>
      <c r="U47" s="71" t="s">
        <v>351</v>
      </c>
      <c r="V47" s="71" t="s">
        <v>351</v>
      </c>
      <c r="W47" s="71" t="s">
        <v>351</v>
      </c>
      <c r="X47" s="71" t="s">
        <v>351</v>
      </c>
      <c r="Y47" s="71" t="s">
        <v>351</v>
      </c>
      <c r="Z47" s="70"/>
      <c r="AA47" s="70" t="s">
        <v>758</v>
      </c>
    </row>
    <row r="48" spans="1:27" ht="22" customHeight="1" x14ac:dyDescent="0.2">
      <c r="A48" s="68" t="s">
        <v>778</v>
      </c>
      <c r="B48" s="69" t="s">
        <v>351</v>
      </c>
      <c r="C48" s="70" t="s">
        <v>522</v>
      </c>
      <c r="D48" s="70" t="s">
        <v>710</v>
      </c>
      <c r="E48" s="71" t="s">
        <v>351</v>
      </c>
      <c r="F48" s="71" t="s">
        <v>351</v>
      </c>
      <c r="G48" s="70" t="s">
        <v>793</v>
      </c>
      <c r="H48" s="70" t="s">
        <v>772</v>
      </c>
      <c r="I48" s="70" t="s">
        <v>755</v>
      </c>
      <c r="J48" s="71" t="s">
        <v>351</v>
      </c>
      <c r="K48" s="70" t="s">
        <v>77</v>
      </c>
      <c r="L48" s="70" t="s">
        <v>481</v>
      </c>
      <c r="M48" s="70" t="s">
        <v>78</v>
      </c>
      <c r="N48" s="70" t="s">
        <v>756</v>
      </c>
      <c r="O48" s="70" t="s">
        <v>757</v>
      </c>
      <c r="P48" s="70" t="s">
        <v>74</v>
      </c>
      <c r="Q48" s="71" t="s">
        <v>351</v>
      </c>
      <c r="R48" s="71" t="s">
        <v>351</v>
      </c>
      <c r="S48" s="71" t="s">
        <v>351</v>
      </c>
      <c r="T48" s="71" t="s">
        <v>351</v>
      </c>
      <c r="U48" s="71" t="s">
        <v>351</v>
      </c>
      <c r="V48" s="71" t="s">
        <v>351</v>
      </c>
      <c r="W48" s="71" t="s">
        <v>351</v>
      </c>
      <c r="X48" s="71" t="s">
        <v>351</v>
      </c>
      <c r="Y48" s="71" t="s">
        <v>351</v>
      </c>
      <c r="Z48" s="72" t="s">
        <v>794</v>
      </c>
      <c r="AA48" s="70" t="s">
        <v>758</v>
      </c>
    </row>
    <row r="49" spans="1:27" ht="22" customHeight="1" x14ac:dyDescent="0.2">
      <c r="A49" s="73" t="s">
        <v>795</v>
      </c>
      <c r="B49" s="74" t="s">
        <v>351</v>
      </c>
      <c r="C49" s="75" t="s">
        <v>796</v>
      </c>
      <c r="D49" s="75" t="s">
        <v>710</v>
      </c>
      <c r="E49" s="76" t="s">
        <v>351</v>
      </c>
      <c r="F49" s="75" t="s">
        <v>485</v>
      </c>
      <c r="G49" s="75" t="s">
        <v>354</v>
      </c>
      <c r="H49" s="75" t="s">
        <v>34</v>
      </c>
      <c r="I49" s="75" t="s">
        <v>755</v>
      </c>
      <c r="J49" s="76" t="s">
        <v>351</v>
      </c>
      <c r="K49" s="75" t="s">
        <v>72</v>
      </c>
      <c r="L49" s="75" t="s">
        <v>757</v>
      </c>
      <c r="M49" s="75" t="s">
        <v>78</v>
      </c>
      <c r="N49" s="75" t="s">
        <v>757</v>
      </c>
      <c r="O49" s="75" t="s">
        <v>757</v>
      </c>
      <c r="P49" s="75" t="s">
        <v>74</v>
      </c>
      <c r="Q49" s="76" t="s">
        <v>351</v>
      </c>
      <c r="R49" s="76" t="s">
        <v>351</v>
      </c>
      <c r="S49" s="76" t="s">
        <v>351</v>
      </c>
      <c r="T49" s="76" t="s">
        <v>351</v>
      </c>
      <c r="U49" s="76" t="s">
        <v>351</v>
      </c>
      <c r="V49" s="76" t="s">
        <v>351</v>
      </c>
      <c r="W49" s="76" t="s">
        <v>351</v>
      </c>
      <c r="X49" s="76" t="s">
        <v>351</v>
      </c>
      <c r="Y49" s="76" t="s">
        <v>351</v>
      </c>
      <c r="Z49" s="75" t="s">
        <v>797</v>
      </c>
      <c r="AA49" s="75" t="s">
        <v>758</v>
      </c>
    </row>
    <row r="50" spans="1:27" ht="22" customHeight="1" x14ac:dyDescent="0.2">
      <c r="A50" s="73" t="s">
        <v>795</v>
      </c>
      <c r="B50" s="74" t="s">
        <v>351</v>
      </c>
      <c r="C50" s="75" t="s">
        <v>529</v>
      </c>
      <c r="D50" s="75" t="s">
        <v>710</v>
      </c>
      <c r="E50" s="76" t="s">
        <v>351</v>
      </c>
      <c r="F50" s="75" t="s">
        <v>70</v>
      </c>
      <c r="G50" s="75" t="s">
        <v>354</v>
      </c>
      <c r="H50" s="75" t="s">
        <v>34</v>
      </c>
      <c r="I50" s="75" t="s">
        <v>773</v>
      </c>
      <c r="J50" s="76" t="s">
        <v>351</v>
      </c>
      <c r="K50" s="75" t="s">
        <v>72</v>
      </c>
      <c r="L50" s="75" t="s">
        <v>798</v>
      </c>
      <c r="M50" s="75" t="s">
        <v>73</v>
      </c>
      <c r="N50" s="75" t="s">
        <v>757</v>
      </c>
      <c r="O50" s="75" t="s">
        <v>757</v>
      </c>
      <c r="P50" s="75" t="s">
        <v>74</v>
      </c>
      <c r="Q50" s="76" t="s">
        <v>351</v>
      </c>
      <c r="R50" s="76" t="s">
        <v>351</v>
      </c>
      <c r="S50" s="76" t="s">
        <v>351</v>
      </c>
      <c r="T50" s="76" t="s">
        <v>351</v>
      </c>
      <c r="U50" s="76" t="s">
        <v>351</v>
      </c>
      <c r="V50" s="76" t="s">
        <v>351</v>
      </c>
      <c r="W50" s="76" t="s">
        <v>351</v>
      </c>
      <c r="X50" s="76" t="s">
        <v>351</v>
      </c>
      <c r="Y50" s="76" t="s">
        <v>351</v>
      </c>
      <c r="Z50" s="77" t="s">
        <v>799</v>
      </c>
      <c r="AA50" s="75" t="s">
        <v>758</v>
      </c>
    </row>
    <row r="51" spans="1:27" ht="22" customHeight="1" x14ac:dyDescent="0.2">
      <c r="A51" s="73" t="s">
        <v>795</v>
      </c>
      <c r="B51" s="74" t="s">
        <v>351</v>
      </c>
      <c r="C51" s="75" t="s">
        <v>91</v>
      </c>
      <c r="D51" s="75" t="s">
        <v>711</v>
      </c>
      <c r="E51" s="76" t="s">
        <v>351</v>
      </c>
      <c r="F51" s="75" t="s">
        <v>485</v>
      </c>
      <c r="G51" s="75" t="s">
        <v>354</v>
      </c>
      <c r="H51" s="75" t="s">
        <v>34</v>
      </c>
      <c r="I51" s="75" t="s">
        <v>755</v>
      </c>
      <c r="J51" s="76" t="s">
        <v>351</v>
      </c>
      <c r="K51" s="75" t="s">
        <v>77</v>
      </c>
      <c r="L51" s="75" t="s">
        <v>481</v>
      </c>
      <c r="M51" s="75" t="s">
        <v>78</v>
      </c>
      <c r="N51" s="75" t="s">
        <v>756</v>
      </c>
      <c r="O51" s="75" t="s">
        <v>757</v>
      </c>
      <c r="P51" s="75" t="s">
        <v>74</v>
      </c>
      <c r="Q51" s="76" t="s">
        <v>351</v>
      </c>
      <c r="R51" s="76" t="s">
        <v>351</v>
      </c>
      <c r="S51" s="76" t="s">
        <v>351</v>
      </c>
      <c r="T51" s="76" t="s">
        <v>351</v>
      </c>
      <c r="U51" s="76" t="s">
        <v>351</v>
      </c>
      <c r="V51" s="76" t="s">
        <v>351</v>
      </c>
      <c r="W51" s="76" t="s">
        <v>351</v>
      </c>
      <c r="X51" s="76" t="s">
        <v>351</v>
      </c>
      <c r="Y51" s="76" t="s">
        <v>351</v>
      </c>
      <c r="Z51" s="77" t="s">
        <v>800</v>
      </c>
      <c r="AA51" s="75" t="s">
        <v>758</v>
      </c>
    </row>
    <row r="52" spans="1:27" ht="22" customHeight="1" x14ac:dyDescent="0.2">
      <c r="A52" s="78" t="s">
        <v>801</v>
      </c>
      <c r="B52" s="79" t="s">
        <v>351</v>
      </c>
      <c r="C52" s="80" t="s">
        <v>82</v>
      </c>
      <c r="D52" s="80" t="s">
        <v>710</v>
      </c>
      <c r="E52" s="81" t="s">
        <v>351</v>
      </c>
      <c r="F52" s="80" t="s">
        <v>70</v>
      </c>
      <c r="G52" s="80" t="s">
        <v>25</v>
      </c>
      <c r="H52" s="80" t="s">
        <v>772</v>
      </c>
      <c r="I52" s="80" t="s">
        <v>773</v>
      </c>
      <c r="J52" s="81" t="s">
        <v>351</v>
      </c>
      <c r="K52" s="80" t="s">
        <v>72</v>
      </c>
      <c r="L52" s="80" t="s">
        <v>481</v>
      </c>
      <c r="M52" s="80" t="s">
        <v>73</v>
      </c>
      <c r="N52" s="80" t="s">
        <v>802</v>
      </c>
      <c r="O52" s="80" t="s">
        <v>803</v>
      </c>
      <c r="P52" s="80" t="s">
        <v>74</v>
      </c>
      <c r="Q52" s="81" t="s">
        <v>351</v>
      </c>
      <c r="R52" s="81" t="s">
        <v>351</v>
      </c>
      <c r="S52" s="81" t="s">
        <v>351</v>
      </c>
      <c r="T52" s="81" t="s">
        <v>351</v>
      </c>
      <c r="U52" s="81" t="s">
        <v>351</v>
      </c>
      <c r="V52" s="81" t="s">
        <v>351</v>
      </c>
      <c r="W52" s="81" t="s">
        <v>351</v>
      </c>
      <c r="X52" s="81" t="s">
        <v>351</v>
      </c>
      <c r="Y52" s="81" t="s">
        <v>351</v>
      </c>
      <c r="Z52" s="80"/>
      <c r="AA52" s="80" t="s">
        <v>758</v>
      </c>
    </row>
    <row r="53" spans="1:27" ht="22" customHeight="1" x14ac:dyDescent="0.2">
      <c r="A53" s="78" t="s">
        <v>801</v>
      </c>
      <c r="B53" s="79" t="s">
        <v>351</v>
      </c>
      <c r="C53" s="80" t="s">
        <v>355</v>
      </c>
      <c r="D53" s="80" t="s">
        <v>710</v>
      </c>
      <c r="E53" s="81" t="s">
        <v>351</v>
      </c>
      <c r="F53" s="80" t="s">
        <v>485</v>
      </c>
      <c r="G53" s="80" t="s">
        <v>354</v>
      </c>
      <c r="H53" s="80" t="s">
        <v>772</v>
      </c>
      <c r="I53" s="80" t="s">
        <v>755</v>
      </c>
      <c r="J53" s="81" t="s">
        <v>351</v>
      </c>
      <c r="K53" s="80" t="s">
        <v>72</v>
      </c>
      <c r="L53" s="80" t="s">
        <v>481</v>
      </c>
      <c r="M53" s="80" t="s">
        <v>73</v>
      </c>
      <c r="N53" s="80" t="s">
        <v>802</v>
      </c>
      <c r="O53" s="80" t="s">
        <v>803</v>
      </c>
      <c r="P53" s="80" t="s">
        <v>74</v>
      </c>
      <c r="Q53" s="81" t="s">
        <v>351</v>
      </c>
      <c r="R53" s="81" t="s">
        <v>351</v>
      </c>
      <c r="S53" s="81" t="s">
        <v>351</v>
      </c>
      <c r="T53" s="81" t="s">
        <v>351</v>
      </c>
      <c r="U53" s="81" t="s">
        <v>351</v>
      </c>
      <c r="V53" s="81" t="s">
        <v>351</v>
      </c>
      <c r="W53" s="81" t="s">
        <v>351</v>
      </c>
      <c r="X53" s="81" t="s">
        <v>351</v>
      </c>
      <c r="Y53" s="81" t="s">
        <v>351</v>
      </c>
      <c r="Z53" s="80"/>
      <c r="AA53" s="80" t="s">
        <v>758</v>
      </c>
    </row>
    <row r="54" spans="1:27" ht="22" customHeight="1" x14ac:dyDescent="0.2">
      <c r="A54" s="78" t="s">
        <v>801</v>
      </c>
      <c r="B54" s="79" t="s">
        <v>351</v>
      </c>
      <c r="C54" s="80" t="s">
        <v>353</v>
      </c>
      <c r="D54" s="80" t="s">
        <v>710</v>
      </c>
      <c r="E54" s="81" t="s">
        <v>351</v>
      </c>
      <c r="F54" s="80" t="s">
        <v>70</v>
      </c>
      <c r="G54" s="80" t="s">
        <v>25</v>
      </c>
      <c r="H54" s="80" t="s">
        <v>772</v>
      </c>
      <c r="I54" s="80" t="s">
        <v>773</v>
      </c>
      <c r="J54" s="81" t="s">
        <v>351</v>
      </c>
      <c r="K54" s="80" t="s">
        <v>72</v>
      </c>
      <c r="L54" s="80" t="s">
        <v>481</v>
      </c>
      <c r="M54" s="80" t="s">
        <v>73</v>
      </c>
      <c r="N54" s="80" t="s">
        <v>802</v>
      </c>
      <c r="O54" s="80" t="s">
        <v>803</v>
      </c>
      <c r="P54" s="80" t="s">
        <v>74</v>
      </c>
      <c r="Q54" s="81" t="s">
        <v>351</v>
      </c>
      <c r="R54" s="81" t="s">
        <v>351</v>
      </c>
      <c r="S54" s="81" t="s">
        <v>351</v>
      </c>
      <c r="T54" s="81" t="s">
        <v>351</v>
      </c>
      <c r="U54" s="81" t="s">
        <v>351</v>
      </c>
      <c r="V54" s="81" t="s">
        <v>351</v>
      </c>
      <c r="W54" s="81" t="s">
        <v>351</v>
      </c>
      <c r="X54" s="81" t="s">
        <v>351</v>
      </c>
      <c r="Y54" s="81" t="s">
        <v>351</v>
      </c>
      <c r="Z54" s="80"/>
      <c r="AA54" s="80" t="s">
        <v>758</v>
      </c>
    </row>
    <row r="55" spans="1:27" ht="22" customHeight="1" x14ac:dyDescent="0.2">
      <c r="A55" s="78" t="s">
        <v>801</v>
      </c>
      <c r="B55" s="79" t="s">
        <v>351</v>
      </c>
      <c r="C55" s="80" t="s">
        <v>529</v>
      </c>
      <c r="D55" s="80" t="s">
        <v>710</v>
      </c>
      <c r="E55" s="81" t="s">
        <v>351</v>
      </c>
      <c r="F55" s="80" t="s">
        <v>70</v>
      </c>
      <c r="G55" s="80" t="s">
        <v>25</v>
      </c>
      <c r="H55" s="80" t="s">
        <v>772</v>
      </c>
      <c r="I55" s="80" t="s">
        <v>773</v>
      </c>
      <c r="J55" s="81" t="s">
        <v>351</v>
      </c>
      <c r="K55" s="80" t="s">
        <v>72</v>
      </c>
      <c r="L55" s="80" t="s">
        <v>481</v>
      </c>
      <c r="M55" s="80" t="s">
        <v>73</v>
      </c>
      <c r="N55" s="80" t="s">
        <v>802</v>
      </c>
      <c r="O55" s="80" t="s">
        <v>803</v>
      </c>
      <c r="P55" s="80" t="s">
        <v>74</v>
      </c>
      <c r="Q55" s="81" t="s">
        <v>351</v>
      </c>
      <c r="R55" s="81" t="s">
        <v>351</v>
      </c>
      <c r="S55" s="81" t="s">
        <v>351</v>
      </c>
      <c r="T55" s="81" t="s">
        <v>351</v>
      </c>
      <c r="U55" s="81" t="s">
        <v>351</v>
      </c>
      <c r="V55" s="81" t="s">
        <v>351</v>
      </c>
      <c r="W55" s="81" t="s">
        <v>351</v>
      </c>
      <c r="X55" s="81" t="s">
        <v>351</v>
      </c>
      <c r="Y55" s="81" t="s">
        <v>351</v>
      </c>
      <c r="Z55" s="80"/>
      <c r="AA55" s="80" t="s">
        <v>758</v>
      </c>
    </row>
    <row r="56" spans="1:27" ht="22" customHeight="1" x14ac:dyDescent="0.2">
      <c r="A56" s="78" t="s">
        <v>801</v>
      </c>
      <c r="B56" s="79" t="s">
        <v>351</v>
      </c>
      <c r="C56" s="80" t="s">
        <v>358</v>
      </c>
      <c r="D56" s="80" t="s">
        <v>714</v>
      </c>
      <c r="E56" s="81" t="s">
        <v>351</v>
      </c>
      <c r="F56" s="80" t="s">
        <v>485</v>
      </c>
      <c r="G56" s="80" t="s">
        <v>354</v>
      </c>
      <c r="H56" s="80" t="s">
        <v>772</v>
      </c>
      <c r="I56" s="80" t="s">
        <v>755</v>
      </c>
      <c r="J56" s="80" t="s">
        <v>495</v>
      </c>
      <c r="K56" s="80" t="s">
        <v>72</v>
      </c>
      <c r="L56" s="80" t="s">
        <v>481</v>
      </c>
      <c r="M56" s="80" t="s">
        <v>73</v>
      </c>
      <c r="N56" s="80" t="s">
        <v>802</v>
      </c>
      <c r="O56" s="80" t="s">
        <v>803</v>
      </c>
      <c r="P56" s="80" t="s">
        <v>74</v>
      </c>
      <c r="Q56" s="81" t="s">
        <v>351</v>
      </c>
      <c r="R56" s="81" t="s">
        <v>351</v>
      </c>
      <c r="S56" s="81" t="s">
        <v>351</v>
      </c>
      <c r="T56" s="81" t="s">
        <v>351</v>
      </c>
      <c r="U56" s="81" t="s">
        <v>351</v>
      </c>
      <c r="V56" s="81" t="s">
        <v>351</v>
      </c>
      <c r="W56" s="81" t="s">
        <v>351</v>
      </c>
      <c r="X56" s="81" t="s">
        <v>351</v>
      </c>
      <c r="Y56" s="81" t="s">
        <v>351</v>
      </c>
      <c r="Z56" s="80"/>
      <c r="AA56" s="80" t="s">
        <v>758</v>
      </c>
    </row>
    <row r="57" spans="1:27" ht="22" customHeight="1" x14ac:dyDescent="0.2">
      <c r="A57" s="78" t="s">
        <v>801</v>
      </c>
      <c r="B57" s="79" t="s">
        <v>351</v>
      </c>
      <c r="C57" s="80" t="s">
        <v>516</v>
      </c>
      <c r="D57" s="80" t="s">
        <v>710</v>
      </c>
      <c r="E57" s="81" t="s">
        <v>351</v>
      </c>
      <c r="F57" s="80" t="s">
        <v>485</v>
      </c>
      <c r="G57" s="80" t="s">
        <v>354</v>
      </c>
      <c r="H57" s="80" t="s">
        <v>772</v>
      </c>
      <c r="I57" s="80" t="s">
        <v>755</v>
      </c>
      <c r="J57" s="81" t="s">
        <v>351</v>
      </c>
      <c r="K57" s="80" t="s">
        <v>72</v>
      </c>
      <c r="L57" s="80" t="s">
        <v>481</v>
      </c>
      <c r="M57" s="80" t="s">
        <v>73</v>
      </c>
      <c r="N57" s="80" t="s">
        <v>802</v>
      </c>
      <c r="O57" s="80" t="s">
        <v>803</v>
      </c>
      <c r="P57" s="80" t="s">
        <v>74</v>
      </c>
      <c r="Q57" s="81" t="s">
        <v>351</v>
      </c>
      <c r="R57" s="81" t="s">
        <v>351</v>
      </c>
      <c r="S57" s="81" t="s">
        <v>351</v>
      </c>
      <c r="T57" s="81" t="s">
        <v>351</v>
      </c>
      <c r="U57" s="81" t="s">
        <v>351</v>
      </c>
      <c r="V57" s="81" t="s">
        <v>351</v>
      </c>
      <c r="W57" s="81" t="s">
        <v>351</v>
      </c>
      <c r="X57" s="81" t="s">
        <v>351</v>
      </c>
      <c r="Y57" s="81" t="s">
        <v>351</v>
      </c>
      <c r="Z57" s="80"/>
      <c r="AA57" s="80" t="s">
        <v>758</v>
      </c>
    </row>
    <row r="58" spans="1:27" ht="22" customHeight="1" x14ac:dyDescent="0.2">
      <c r="A58" s="78" t="s">
        <v>801</v>
      </c>
      <c r="B58" s="79" t="s">
        <v>351</v>
      </c>
      <c r="C58" s="80" t="s">
        <v>776</v>
      </c>
      <c r="D58" s="80" t="s">
        <v>711</v>
      </c>
      <c r="E58" s="81" t="s">
        <v>351</v>
      </c>
      <c r="F58" s="80" t="s">
        <v>485</v>
      </c>
      <c r="G58" s="80" t="s">
        <v>206</v>
      </c>
      <c r="H58" s="80" t="s">
        <v>772</v>
      </c>
      <c r="I58" s="80" t="s">
        <v>755</v>
      </c>
      <c r="J58" s="81" t="s">
        <v>351</v>
      </c>
      <c r="K58" s="80" t="s">
        <v>77</v>
      </c>
      <c r="L58" s="80" t="s">
        <v>481</v>
      </c>
      <c r="M58" s="80" t="s">
        <v>78</v>
      </c>
      <c r="N58" s="80" t="s">
        <v>802</v>
      </c>
      <c r="O58" s="80" t="s">
        <v>803</v>
      </c>
      <c r="P58" s="80" t="s">
        <v>74</v>
      </c>
      <c r="Q58" s="81" t="s">
        <v>351</v>
      </c>
      <c r="R58" s="81" t="s">
        <v>351</v>
      </c>
      <c r="S58" s="81" t="s">
        <v>351</v>
      </c>
      <c r="T58" s="81" t="s">
        <v>351</v>
      </c>
      <c r="U58" s="81" t="s">
        <v>351</v>
      </c>
      <c r="V58" s="81" t="s">
        <v>351</v>
      </c>
      <c r="W58" s="81" t="s">
        <v>351</v>
      </c>
      <c r="X58" s="81" t="s">
        <v>351</v>
      </c>
      <c r="Y58" s="81" t="s">
        <v>351</v>
      </c>
      <c r="Z58" s="80"/>
      <c r="AA58" s="80" t="s">
        <v>758</v>
      </c>
    </row>
    <row r="59" spans="1:27" ht="22" customHeight="1" x14ac:dyDescent="0.2">
      <c r="A59" s="78" t="s">
        <v>801</v>
      </c>
      <c r="B59" s="79" t="s">
        <v>351</v>
      </c>
      <c r="C59" s="80" t="s">
        <v>804</v>
      </c>
      <c r="D59" s="80" t="s">
        <v>711</v>
      </c>
      <c r="E59" s="81" t="s">
        <v>351</v>
      </c>
      <c r="F59" s="80" t="s">
        <v>485</v>
      </c>
      <c r="G59" s="80" t="s">
        <v>206</v>
      </c>
      <c r="H59" s="80" t="s">
        <v>772</v>
      </c>
      <c r="I59" s="80" t="s">
        <v>755</v>
      </c>
      <c r="J59" s="81" t="s">
        <v>351</v>
      </c>
      <c r="K59" s="80" t="s">
        <v>77</v>
      </c>
      <c r="L59" s="80" t="s">
        <v>481</v>
      </c>
      <c r="M59" s="80" t="s">
        <v>78</v>
      </c>
      <c r="N59" s="80" t="s">
        <v>802</v>
      </c>
      <c r="O59" s="80" t="s">
        <v>803</v>
      </c>
      <c r="P59" s="80" t="s">
        <v>74</v>
      </c>
      <c r="Q59" s="81" t="s">
        <v>351</v>
      </c>
      <c r="R59" s="81" t="s">
        <v>351</v>
      </c>
      <c r="S59" s="81" t="s">
        <v>351</v>
      </c>
      <c r="T59" s="81" t="s">
        <v>351</v>
      </c>
      <c r="U59" s="81" t="s">
        <v>351</v>
      </c>
      <c r="V59" s="81" t="s">
        <v>351</v>
      </c>
      <c r="W59" s="81" t="s">
        <v>351</v>
      </c>
      <c r="X59" s="81" t="s">
        <v>351</v>
      </c>
      <c r="Y59" s="81" t="s">
        <v>351</v>
      </c>
      <c r="Z59" s="80"/>
      <c r="AA59" s="80" t="s">
        <v>758</v>
      </c>
    </row>
    <row r="60" spans="1:27" x14ac:dyDescent="0.2">
      <c r="A60" s="108"/>
    </row>
    <row r="61" spans="1:27" ht="52" x14ac:dyDescent="0.2">
      <c r="A61" s="107" t="s">
        <v>1032</v>
      </c>
      <c r="B61" s="102" t="s">
        <v>1237</v>
      </c>
      <c r="C61" s="102" t="s">
        <v>1236</v>
      </c>
      <c r="D61" s="102" t="s">
        <v>710</v>
      </c>
      <c r="E61" s="102">
        <v>80</v>
      </c>
      <c r="F61" s="102" t="s">
        <v>71</v>
      </c>
      <c r="G61" s="102"/>
      <c r="H61" s="102" t="s">
        <v>482</v>
      </c>
      <c r="I61" s="102" t="s">
        <v>1199</v>
      </c>
      <c r="J61" s="102"/>
      <c r="K61" s="102"/>
      <c r="L61" s="102"/>
      <c r="M61" s="102"/>
      <c r="N61" s="102"/>
      <c r="O61" s="102"/>
      <c r="P61" s="102" t="s">
        <v>1198</v>
      </c>
      <c r="Q61" s="102"/>
      <c r="R61" s="102"/>
      <c r="S61" s="102">
        <v>58.5</v>
      </c>
      <c r="T61" s="102">
        <v>65</v>
      </c>
      <c r="U61" s="102"/>
      <c r="V61" s="102" t="s">
        <v>1169</v>
      </c>
      <c r="W61" s="102">
        <v>38</v>
      </c>
      <c r="X61" s="102" t="s">
        <v>1169</v>
      </c>
      <c r="Y61" s="102"/>
      <c r="Z61" s="102"/>
      <c r="AA61" s="102" t="s">
        <v>1197</v>
      </c>
    </row>
    <row r="62" spans="1:27" ht="52" x14ac:dyDescent="0.2">
      <c r="A62" s="107" t="s">
        <v>1032</v>
      </c>
      <c r="B62" s="102" t="s">
        <v>1235</v>
      </c>
      <c r="C62" s="102" t="s">
        <v>1234</v>
      </c>
      <c r="D62" s="102" t="s">
        <v>710</v>
      </c>
      <c r="E62" s="102">
        <v>50</v>
      </c>
      <c r="F62" s="102" t="s">
        <v>71</v>
      </c>
      <c r="G62" s="102"/>
      <c r="H62" s="102" t="s">
        <v>482</v>
      </c>
      <c r="I62" s="102" t="s">
        <v>1199</v>
      </c>
      <c r="J62" s="102"/>
      <c r="K62" s="102"/>
      <c r="L62" s="102"/>
      <c r="M62" s="102"/>
      <c r="N62" s="102"/>
      <c r="O62" s="102"/>
      <c r="P62" s="102" t="s">
        <v>1198</v>
      </c>
      <c r="Q62" s="102"/>
      <c r="R62" s="102"/>
      <c r="S62" s="102">
        <v>13</v>
      </c>
      <c r="T62" s="102">
        <v>14</v>
      </c>
      <c r="U62" s="102"/>
      <c r="V62" s="102" t="s">
        <v>1169</v>
      </c>
      <c r="W62" s="102">
        <v>39</v>
      </c>
      <c r="X62" s="102" t="s">
        <v>1169</v>
      </c>
      <c r="Y62" s="102"/>
      <c r="Z62" s="102"/>
      <c r="AA62" s="102" t="s">
        <v>1197</v>
      </c>
    </row>
    <row r="63" spans="1:27" ht="52" x14ac:dyDescent="0.2">
      <c r="A63" s="107" t="s">
        <v>1032</v>
      </c>
      <c r="B63" s="102" t="s">
        <v>1233</v>
      </c>
      <c r="C63" s="102" t="s">
        <v>1232</v>
      </c>
      <c r="D63" s="102" t="s">
        <v>710</v>
      </c>
      <c r="E63" s="102">
        <v>400</v>
      </c>
      <c r="F63" s="102" t="s">
        <v>71</v>
      </c>
      <c r="G63" s="102"/>
      <c r="H63" s="102" t="s">
        <v>482</v>
      </c>
      <c r="I63" s="102" t="s">
        <v>1199</v>
      </c>
      <c r="J63" s="102"/>
      <c r="K63" s="102"/>
      <c r="L63" s="102"/>
      <c r="M63" s="102"/>
      <c r="N63" s="102"/>
      <c r="O63" s="102"/>
      <c r="P63" s="102" t="s">
        <v>1198</v>
      </c>
      <c r="Q63" s="102"/>
      <c r="R63" s="102"/>
      <c r="S63" s="102">
        <v>750</v>
      </c>
      <c r="T63" s="102">
        <v>1025</v>
      </c>
      <c r="U63" s="102"/>
      <c r="V63" s="102" t="s">
        <v>1169</v>
      </c>
      <c r="W63" s="102">
        <v>39</v>
      </c>
      <c r="X63" s="102" t="s">
        <v>1169</v>
      </c>
      <c r="Y63" s="102"/>
      <c r="Z63" s="102"/>
      <c r="AA63" s="102" t="s">
        <v>1197</v>
      </c>
    </row>
    <row r="64" spans="1:27" ht="52" x14ac:dyDescent="0.2">
      <c r="A64" s="107" t="s">
        <v>1032</v>
      </c>
      <c r="B64" s="102" t="s">
        <v>1231</v>
      </c>
      <c r="C64" s="102" t="s">
        <v>1230</v>
      </c>
      <c r="D64" s="102" t="s">
        <v>710</v>
      </c>
      <c r="E64" s="102">
        <v>80</v>
      </c>
      <c r="F64" s="102" t="s">
        <v>1211</v>
      </c>
      <c r="G64" s="102"/>
      <c r="H64" s="102" t="s">
        <v>482</v>
      </c>
      <c r="I64" s="102" t="s">
        <v>1199</v>
      </c>
      <c r="J64" s="102"/>
      <c r="K64" s="102"/>
      <c r="L64" s="102"/>
      <c r="M64" s="102"/>
      <c r="N64" s="102"/>
      <c r="O64" s="102"/>
      <c r="P64" s="102" t="s">
        <v>1198</v>
      </c>
      <c r="Q64" s="102"/>
      <c r="R64" s="102"/>
      <c r="S64" s="102">
        <v>35</v>
      </c>
      <c r="T64" s="102">
        <v>45</v>
      </c>
      <c r="U64" s="102"/>
      <c r="V64" s="102" t="s">
        <v>1169</v>
      </c>
      <c r="W64" s="102">
        <v>39</v>
      </c>
      <c r="X64" s="102" t="s">
        <v>1169</v>
      </c>
      <c r="Y64" s="102"/>
      <c r="Z64" s="102"/>
      <c r="AA64" s="102" t="s">
        <v>1197</v>
      </c>
    </row>
    <row r="65" spans="1:27" ht="78" x14ac:dyDescent="0.2">
      <c r="A65" s="107" t="s">
        <v>1032</v>
      </c>
      <c r="B65" s="102" t="s">
        <v>1229</v>
      </c>
      <c r="C65" s="102" t="s">
        <v>1228</v>
      </c>
      <c r="D65" s="102" t="s">
        <v>710</v>
      </c>
      <c r="E65" s="102" t="s">
        <v>1208</v>
      </c>
      <c r="F65" s="102" t="s">
        <v>71</v>
      </c>
      <c r="G65" s="102"/>
      <c r="H65" s="102" t="s">
        <v>482</v>
      </c>
      <c r="I65" s="102" t="s">
        <v>1199</v>
      </c>
      <c r="J65" s="102"/>
      <c r="K65" s="102"/>
      <c r="L65" s="102"/>
      <c r="M65" s="102"/>
      <c r="N65" s="102"/>
      <c r="O65" s="102"/>
      <c r="P65" s="102" t="s">
        <v>1198</v>
      </c>
      <c r="Q65" s="102"/>
      <c r="R65" s="102"/>
      <c r="S65" s="102">
        <v>21</v>
      </c>
      <c r="T65" s="102">
        <v>23.1</v>
      </c>
      <c r="U65" s="102"/>
      <c r="V65" s="102" t="s">
        <v>1169</v>
      </c>
      <c r="W65" s="102">
        <v>39</v>
      </c>
      <c r="X65" s="102" t="s">
        <v>1169</v>
      </c>
      <c r="Y65" s="102"/>
      <c r="Z65" s="102"/>
      <c r="AA65" s="102" t="s">
        <v>1197</v>
      </c>
    </row>
    <row r="66" spans="1:27" ht="52" x14ac:dyDescent="0.2">
      <c r="A66" s="107" t="s">
        <v>1032</v>
      </c>
      <c r="B66" s="102" t="s">
        <v>1227</v>
      </c>
      <c r="C66" s="102" t="s">
        <v>1226</v>
      </c>
      <c r="D66" s="102" t="s">
        <v>710</v>
      </c>
      <c r="E66" s="102">
        <v>100</v>
      </c>
      <c r="F66" s="102" t="s">
        <v>71</v>
      </c>
      <c r="G66" s="102"/>
      <c r="H66" s="102" t="s">
        <v>482</v>
      </c>
      <c r="I66" s="102" t="s">
        <v>1199</v>
      </c>
      <c r="J66" s="102"/>
      <c r="K66" s="102"/>
      <c r="L66" s="102"/>
      <c r="M66" s="102"/>
      <c r="N66" s="102"/>
      <c r="O66" s="102"/>
      <c r="P66" s="102" t="s">
        <v>1198</v>
      </c>
      <c r="Q66" s="102"/>
      <c r="R66" s="102"/>
      <c r="S66" s="102">
        <v>54</v>
      </c>
      <c r="T66" s="102">
        <v>70</v>
      </c>
      <c r="U66" s="102"/>
      <c r="V66" s="102" t="s">
        <v>1169</v>
      </c>
      <c r="W66" s="102">
        <v>39</v>
      </c>
      <c r="X66" s="102" t="s">
        <v>1169</v>
      </c>
      <c r="Y66" s="102"/>
      <c r="Z66" s="102"/>
      <c r="AA66" s="102" t="s">
        <v>1197</v>
      </c>
    </row>
    <row r="67" spans="1:27" ht="52" x14ac:dyDescent="0.2">
      <c r="A67" s="107" t="s">
        <v>1032</v>
      </c>
      <c r="B67" s="102" t="s">
        <v>1225</v>
      </c>
      <c r="C67" s="102" t="s">
        <v>1224</v>
      </c>
      <c r="D67" s="102" t="s">
        <v>710</v>
      </c>
      <c r="E67" s="102">
        <v>100</v>
      </c>
      <c r="F67" s="102" t="s">
        <v>71</v>
      </c>
      <c r="G67" s="102"/>
      <c r="H67" s="102" t="s">
        <v>482</v>
      </c>
      <c r="I67" s="102" t="s">
        <v>1199</v>
      </c>
      <c r="J67" s="102"/>
      <c r="K67" s="102"/>
      <c r="L67" s="102"/>
      <c r="M67" s="102"/>
      <c r="N67" s="102"/>
      <c r="O67" s="102"/>
      <c r="P67" s="102" t="s">
        <v>1198</v>
      </c>
      <c r="Q67" s="102"/>
      <c r="R67" s="102"/>
      <c r="S67" s="102">
        <v>54</v>
      </c>
      <c r="T67" s="102">
        <v>70</v>
      </c>
      <c r="U67" s="102"/>
      <c r="V67" s="102" t="s">
        <v>1169</v>
      </c>
      <c r="W67" s="102">
        <v>39</v>
      </c>
      <c r="X67" s="102" t="s">
        <v>1169</v>
      </c>
      <c r="Y67" s="102"/>
      <c r="Z67" s="102"/>
      <c r="AA67" s="102" t="s">
        <v>1197</v>
      </c>
    </row>
    <row r="68" spans="1:27" ht="39" x14ac:dyDescent="0.2">
      <c r="A68" s="107" t="s">
        <v>1032</v>
      </c>
      <c r="B68" s="102" t="s">
        <v>1223</v>
      </c>
      <c r="C68" s="102" t="s">
        <v>1222</v>
      </c>
      <c r="D68" s="102" t="s">
        <v>711</v>
      </c>
      <c r="E68" s="102">
        <v>100</v>
      </c>
      <c r="F68" s="102" t="s">
        <v>71</v>
      </c>
      <c r="G68" s="102"/>
      <c r="H68" s="102" t="s">
        <v>482</v>
      </c>
      <c r="I68" s="102" t="s">
        <v>1199</v>
      </c>
      <c r="J68" s="102"/>
      <c r="K68" s="102"/>
      <c r="L68" s="102"/>
      <c r="M68" s="102"/>
      <c r="N68" s="102"/>
      <c r="O68" s="102"/>
      <c r="P68" s="102" t="s">
        <v>1198</v>
      </c>
      <c r="Q68" s="102"/>
      <c r="R68" s="102"/>
      <c r="S68" s="102">
        <v>65</v>
      </c>
      <c r="T68" s="102">
        <v>80</v>
      </c>
      <c r="U68" s="102"/>
      <c r="V68" s="102" t="s">
        <v>1169</v>
      </c>
      <c r="W68" s="102">
        <v>39</v>
      </c>
      <c r="X68" s="102" t="s">
        <v>1169</v>
      </c>
      <c r="Y68" s="102"/>
      <c r="Z68" s="102"/>
      <c r="AA68" s="102" t="s">
        <v>1197</v>
      </c>
    </row>
    <row r="69" spans="1:27" ht="39" x14ac:dyDescent="0.2">
      <c r="A69" s="107" t="s">
        <v>1032</v>
      </c>
      <c r="B69" s="102" t="s">
        <v>1221</v>
      </c>
      <c r="C69" s="102" t="s">
        <v>1220</v>
      </c>
      <c r="D69" s="102" t="s">
        <v>711</v>
      </c>
      <c r="E69" s="102">
        <v>100</v>
      </c>
      <c r="F69" s="102" t="s">
        <v>71</v>
      </c>
      <c r="G69" s="102"/>
      <c r="H69" s="102" t="s">
        <v>482</v>
      </c>
      <c r="I69" s="102" t="s">
        <v>1199</v>
      </c>
      <c r="J69" s="102"/>
      <c r="K69" s="102"/>
      <c r="L69" s="102"/>
      <c r="M69" s="102"/>
      <c r="N69" s="102"/>
      <c r="O69" s="102"/>
      <c r="P69" s="102" t="s">
        <v>1198</v>
      </c>
      <c r="Q69" s="102"/>
      <c r="R69" s="102"/>
      <c r="S69" s="102">
        <v>65</v>
      </c>
      <c r="T69" s="102">
        <v>80</v>
      </c>
      <c r="U69" s="102"/>
      <c r="V69" s="102" t="s">
        <v>1169</v>
      </c>
      <c r="W69" s="102">
        <v>39</v>
      </c>
      <c r="X69" s="102" t="s">
        <v>1169</v>
      </c>
      <c r="Y69" s="102"/>
      <c r="Z69" s="102"/>
      <c r="AA69" s="102" t="s">
        <v>1197</v>
      </c>
    </row>
    <row r="70" spans="1:27" ht="52" x14ac:dyDescent="0.2">
      <c r="A70" s="107" t="s">
        <v>1032</v>
      </c>
      <c r="B70" s="102" t="s">
        <v>1219</v>
      </c>
      <c r="C70" s="102" t="s">
        <v>1218</v>
      </c>
      <c r="D70" s="102" t="s">
        <v>710</v>
      </c>
      <c r="E70" s="102">
        <v>80</v>
      </c>
      <c r="F70" s="102" t="s">
        <v>71</v>
      </c>
      <c r="G70" s="102"/>
      <c r="H70" s="102" t="s">
        <v>482</v>
      </c>
      <c r="I70" s="102" t="s">
        <v>1199</v>
      </c>
      <c r="J70" s="102"/>
      <c r="K70" s="102"/>
      <c r="L70" s="102"/>
      <c r="M70" s="102"/>
      <c r="N70" s="102"/>
      <c r="O70" s="102"/>
      <c r="P70" s="102" t="s">
        <v>1198</v>
      </c>
      <c r="Q70" s="102"/>
      <c r="R70" s="102"/>
      <c r="S70" s="102">
        <v>58.5</v>
      </c>
      <c r="T70" s="102">
        <v>65</v>
      </c>
      <c r="U70" s="102"/>
      <c r="V70" s="102" t="s">
        <v>1169</v>
      </c>
      <c r="W70" s="102">
        <v>38</v>
      </c>
      <c r="X70" s="102" t="s">
        <v>1169</v>
      </c>
      <c r="Y70" s="102"/>
      <c r="Z70" s="102"/>
      <c r="AA70" s="102" t="s">
        <v>1197</v>
      </c>
    </row>
    <row r="71" spans="1:27" ht="52" x14ac:dyDescent="0.2">
      <c r="A71" s="107" t="s">
        <v>1032</v>
      </c>
      <c r="B71" s="102" t="s">
        <v>1217</v>
      </c>
      <c r="C71" s="102" t="s">
        <v>1216</v>
      </c>
      <c r="D71" s="102" t="s">
        <v>710</v>
      </c>
      <c r="E71" s="102">
        <v>50</v>
      </c>
      <c r="F71" s="102" t="s">
        <v>71</v>
      </c>
      <c r="G71" s="102"/>
      <c r="H71" s="102" t="s">
        <v>482</v>
      </c>
      <c r="I71" s="102" t="s">
        <v>1199</v>
      </c>
      <c r="J71" s="102"/>
      <c r="K71" s="102"/>
      <c r="L71" s="102"/>
      <c r="M71" s="102"/>
      <c r="N71" s="102"/>
      <c r="O71" s="102"/>
      <c r="P71" s="102" t="s">
        <v>1198</v>
      </c>
      <c r="Q71" s="102"/>
      <c r="R71" s="102"/>
      <c r="S71" s="102">
        <v>13</v>
      </c>
      <c r="T71" s="102">
        <v>14</v>
      </c>
      <c r="U71" s="102"/>
      <c r="V71" s="102" t="s">
        <v>1169</v>
      </c>
      <c r="W71" s="102">
        <v>39</v>
      </c>
      <c r="X71" s="102" t="s">
        <v>1169</v>
      </c>
      <c r="Y71" s="102"/>
      <c r="Z71" s="102"/>
      <c r="AA71" s="102" t="s">
        <v>1197</v>
      </c>
    </row>
    <row r="72" spans="1:27" ht="52" x14ac:dyDescent="0.2">
      <c r="A72" s="107" t="s">
        <v>1032</v>
      </c>
      <c r="B72" s="102" t="s">
        <v>1215</v>
      </c>
      <c r="C72" s="102" t="s">
        <v>1214</v>
      </c>
      <c r="D72" s="102" t="s">
        <v>710</v>
      </c>
      <c r="E72" s="102">
        <v>400</v>
      </c>
      <c r="F72" s="102" t="s">
        <v>71</v>
      </c>
      <c r="G72" s="102"/>
      <c r="H72" s="102" t="s">
        <v>482</v>
      </c>
      <c r="I72" s="102" t="s">
        <v>1199</v>
      </c>
      <c r="J72" s="102"/>
      <c r="K72" s="102"/>
      <c r="L72" s="102"/>
      <c r="M72" s="102"/>
      <c r="N72" s="102"/>
      <c r="O72" s="102"/>
      <c r="P72" s="102" t="s">
        <v>1198</v>
      </c>
      <c r="Q72" s="102"/>
      <c r="R72" s="102"/>
      <c r="S72" s="102">
        <v>750</v>
      </c>
      <c r="T72" s="102">
        <v>1025</v>
      </c>
      <c r="U72" s="102"/>
      <c r="V72" s="102" t="s">
        <v>1169</v>
      </c>
      <c r="W72" s="102">
        <v>39</v>
      </c>
      <c r="X72" s="102" t="s">
        <v>1169</v>
      </c>
      <c r="Y72" s="102"/>
      <c r="Z72" s="102"/>
      <c r="AA72" s="102" t="s">
        <v>1197</v>
      </c>
    </row>
    <row r="73" spans="1:27" ht="52" x14ac:dyDescent="0.2">
      <c r="A73" s="107" t="s">
        <v>1032</v>
      </c>
      <c r="B73" s="102" t="s">
        <v>1213</v>
      </c>
      <c r="C73" s="102" t="s">
        <v>1212</v>
      </c>
      <c r="D73" s="102" t="s">
        <v>710</v>
      </c>
      <c r="E73" s="102">
        <v>80</v>
      </c>
      <c r="F73" s="102" t="s">
        <v>1211</v>
      </c>
      <c r="G73" s="102"/>
      <c r="H73" s="102" t="s">
        <v>482</v>
      </c>
      <c r="I73" s="102" t="s">
        <v>1199</v>
      </c>
      <c r="J73" s="102"/>
      <c r="K73" s="102"/>
      <c r="L73" s="102"/>
      <c r="M73" s="102"/>
      <c r="N73" s="102"/>
      <c r="O73" s="102"/>
      <c r="P73" s="102" t="s">
        <v>1198</v>
      </c>
      <c r="Q73" s="102"/>
      <c r="R73" s="102"/>
      <c r="S73" s="102">
        <v>35</v>
      </c>
      <c r="T73" s="102">
        <v>45</v>
      </c>
      <c r="U73" s="102"/>
      <c r="V73" s="102" t="s">
        <v>1169</v>
      </c>
      <c r="W73" s="102">
        <v>39</v>
      </c>
      <c r="X73" s="102" t="s">
        <v>1169</v>
      </c>
      <c r="Y73" s="102"/>
      <c r="Z73" s="102"/>
      <c r="AA73" s="102" t="s">
        <v>1197</v>
      </c>
    </row>
    <row r="74" spans="1:27" ht="78" x14ac:dyDescent="0.2">
      <c r="A74" s="107" t="s">
        <v>1032</v>
      </c>
      <c r="B74" s="102" t="s">
        <v>1210</v>
      </c>
      <c r="C74" s="102" t="s">
        <v>1209</v>
      </c>
      <c r="D74" s="102" t="s">
        <v>710</v>
      </c>
      <c r="E74" s="102" t="s">
        <v>1208</v>
      </c>
      <c r="F74" s="102" t="s">
        <v>71</v>
      </c>
      <c r="G74" s="102"/>
      <c r="H74" s="102" t="s">
        <v>482</v>
      </c>
      <c r="I74" s="102" t="s">
        <v>1199</v>
      </c>
      <c r="J74" s="102"/>
      <c r="K74" s="102"/>
      <c r="L74" s="102"/>
      <c r="M74" s="102"/>
      <c r="N74" s="102"/>
      <c r="O74" s="102"/>
      <c r="P74" s="102" t="s">
        <v>1198</v>
      </c>
      <c r="Q74" s="102"/>
      <c r="R74" s="102"/>
      <c r="S74" s="102">
        <v>21</v>
      </c>
      <c r="T74" s="102">
        <v>23.1</v>
      </c>
      <c r="U74" s="102"/>
      <c r="V74" s="102" t="s">
        <v>1169</v>
      </c>
      <c r="W74" s="102">
        <v>39</v>
      </c>
      <c r="X74" s="102" t="s">
        <v>1169</v>
      </c>
      <c r="Y74" s="102"/>
      <c r="Z74" s="102"/>
      <c r="AA74" s="102" t="s">
        <v>1197</v>
      </c>
    </row>
    <row r="75" spans="1:27" ht="52" x14ac:dyDescent="0.2">
      <c r="A75" s="107" t="s">
        <v>1032</v>
      </c>
      <c r="B75" s="102" t="s">
        <v>1207</v>
      </c>
      <c r="C75" s="102" t="s">
        <v>1206</v>
      </c>
      <c r="D75" s="102" t="s">
        <v>710</v>
      </c>
      <c r="E75" s="102">
        <v>100</v>
      </c>
      <c r="F75" s="102" t="s">
        <v>71</v>
      </c>
      <c r="G75" s="102"/>
      <c r="H75" s="102" t="s">
        <v>482</v>
      </c>
      <c r="I75" s="102" t="s">
        <v>1199</v>
      </c>
      <c r="J75" s="102"/>
      <c r="K75" s="102"/>
      <c r="L75" s="102"/>
      <c r="M75" s="102"/>
      <c r="N75" s="102"/>
      <c r="O75" s="102"/>
      <c r="P75" s="102" t="s">
        <v>1198</v>
      </c>
      <c r="Q75" s="102"/>
      <c r="R75" s="102"/>
      <c r="S75" s="102">
        <v>54</v>
      </c>
      <c r="T75" s="102">
        <v>70</v>
      </c>
      <c r="U75" s="102"/>
      <c r="V75" s="102" t="s">
        <v>1169</v>
      </c>
      <c r="W75" s="102">
        <v>39</v>
      </c>
      <c r="X75" s="102" t="s">
        <v>1169</v>
      </c>
      <c r="Y75" s="102"/>
      <c r="Z75" s="102"/>
      <c r="AA75" s="102" t="s">
        <v>1197</v>
      </c>
    </row>
    <row r="76" spans="1:27" ht="52" x14ac:dyDescent="0.2">
      <c r="A76" s="107" t="s">
        <v>1032</v>
      </c>
      <c r="B76" s="102" t="s">
        <v>1205</v>
      </c>
      <c r="C76" s="102" t="s">
        <v>1204</v>
      </c>
      <c r="D76" s="102" t="s">
        <v>710</v>
      </c>
      <c r="E76" s="102">
        <v>100</v>
      </c>
      <c r="F76" s="102" t="s">
        <v>71</v>
      </c>
      <c r="G76" s="102"/>
      <c r="H76" s="102" t="s">
        <v>482</v>
      </c>
      <c r="I76" s="102" t="s">
        <v>1199</v>
      </c>
      <c r="J76" s="102"/>
      <c r="K76" s="102"/>
      <c r="L76" s="102"/>
      <c r="M76" s="102"/>
      <c r="N76" s="102"/>
      <c r="O76" s="102"/>
      <c r="P76" s="102" t="s">
        <v>1198</v>
      </c>
      <c r="Q76" s="102"/>
      <c r="R76" s="102"/>
      <c r="S76" s="102">
        <v>54</v>
      </c>
      <c r="T76" s="102">
        <v>70</v>
      </c>
      <c r="U76" s="102"/>
      <c r="V76" s="102" t="s">
        <v>1169</v>
      </c>
      <c r="W76" s="102">
        <v>39</v>
      </c>
      <c r="X76" s="102" t="s">
        <v>1169</v>
      </c>
      <c r="Y76" s="102"/>
      <c r="Z76" s="102"/>
      <c r="AA76" s="102" t="s">
        <v>1197</v>
      </c>
    </row>
    <row r="77" spans="1:27" ht="39" x14ac:dyDescent="0.2">
      <c r="A77" s="107" t="s">
        <v>1032</v>
      </c>
      <c r="B77" s="102" t="s">
        <v>1203</v>
      </c>
      <c r="C77" s="102" t="s">
        <v>1202</v>
      </c>
      <c r="D77" s="102" t="s">
        <v>711</v>
      </c>
      <c r="E77" s="102">
        <v>100</v>
      </c>
      <c r="F77" s="102" t="s">
        <v>71</v>
      </c>
      <c r="G77" s="102"/>
      <c r="H77" s="102" t="s">
        <v>482</v>
      </c>
      <c r="I77" s="102" t="s">
        <v>1199</v>
      </c>
      <c r="J77" s="102"/>
      <c r="K77" s="102"/>
      <c r="L77" s="102"/>
      <c r="M77" s="102"/>
      <c r="N77" s="102"/>
      <c r="O77" s="102"/>
      <c r="P77" s="102" t="s">
        <v>1198</v>
      </c>
      <c r="Q77" s="102"/>
      <c r="R77" s="102"/>
      <c r="S77" s="102">
        <v>65</v>
      </c>
      <c r="T77" s="102">
        <v>80</v>
      </c>
      <c r="U77" s="102"/>
      <c r="V77" s="102" t="s">
        <v>1169</v>
      </c>
      <c r="W77" s="102">
        <v>39</v>
      </c>
      <c r="X77" s="102" t="s">
        <v>1169</v>
      </c>
      <c r="Y77" s="102"/>
      <c r="Z77" s="102"/>
      <c r="AA77" s="102" t="s">
        <v>1197</v>
      </c>
    </row>
    <row r="78" spans="1:27" ht="39" x14ac:dyDescent="0.2">
      <c r="A78" s="107" t="s">
        <v>1032</v>
      </c>
      <c r="B78" s="102" t="s">
        <v>1201</v>
      </c>
      <c r="C78" s="102" t="s">
        <v>1200</v>
      </c>
      <c r="D78" s="102" t="s">
        <v>711</v>
      </c>
      <c r="E78" s="102">
        <v>100</v>
      </c>
      <c r="F78" s="102" t="s">
        <v>71</v>
      </c>
      <c r="G78" s="102"/>
      <c r="H78" s="102" t="s">
        <v>482</v>
      </c>
      <c r="I78" s="102" t="s">
        <v>1199</v>
      </c>
      <c r="J78" s="102"/>
      <c r="K78" s="102"/>
      <c r="L78" s="102"/>
      <c r="M78" s="102"/>
      <c r="N78" s="102"/>
      <c r="O78" s="102"/>
      <c r="P78" s="102" t="s">
        <v>1198</v>
      </c>
      <c r="Q78" s="102"/>
      <c r="R78" s="102"/>
      <c r="S78" s="102">
        <v>65</v>
      </c>
      <c r="T78" s="102">
        <v>80</v>
      </c>
      <c r="U78" s="102"/>
      <c r="V78" s="102" t="s">
        <v>1169</v>
      </c>
      <c r="W78" s="102">
        <v>39</v>
      </c>
      <c r="X78" s="102" t="s">
        <v>1169</v>
      </c>
      <c r="Y78" s="102"/>
      <c r="Z78" s="102"/>
      <c r="AA78" s="102" t="s">
        <v>1197</v>
      </c>
    </row>
    <row r="79" spans="1:27" ht="78" x14ac:dyDescent="0.2">
      <c r="A79" s="106" t="s">
        <v>1030</v>
      </c>
      <c r="B79" s="102" t="s">
        <v>1196</v>
      </c>
      <c r="C79" s="102" t="s">
        <v>1195</v>
      </c>
      <c r="D79" s="102" t="s">
        <v>710</v>
      </c>
      <c r="E79" s="102">
        <v>250</v>
      </c>
      <c r="F79" s="102" t="s">
        <v>70</v>
      </c>
      <c r="G79" s="102"/>
      <c r="H79" s="102" t="s">
        <v>1172</v>
      </c>
      <c r="I79" s="102" t="s">
        <v>1171</v>
      </c>
      <c r="J79" s="102"/>
      <c r="K79" s="102"/>
      <c r="L79" s="102"/>
      <c r="M79" s="102"/>
      <c r="N79" s="102"/>
      <c r="O79" s="102"/>
      <c r="P79" s="102" t="s">
        <v>1170</v>
      </c>
      <c r="Q79" s="102"/>
      <c r="R79" s="102"/>
      <c r="S79" s="102"/>
      <c r="T79" s="102"/>
      <c r="U79" s="102"/>
      <c r="V79" s="102" t="s">
        <v>1169</v>
      </c>
      <c r="W79" s="102"/>
      <c r="X79" s="102" t="s">
        <v>1169</v>
      </c>
      <c r="Y79" s="102"/>
      <c r="Z79" s="102"/>
      <c r="AA79" s="102" t="s">
        <v>1168</v>
      </c>
    </row>
    <row r="80" spans="1:27" ht="52" x14ac:dyDescent="0.2">
      <c r="A80" s="106" t="s">
        <v>1030</v>
      </c>
      <c r="B80" s="102" t="s">
        <v>1194</v>
      </c>
      <c r="C80" s="102" t="s">
        <v>1193</v>
      </c>
      <c r="D80" s="102" t="s">
        <v>710</v>
      </c>
      <c r="E80" s="102">
        <v>150</v>
      </c>
      <c r="F80" s="102" t="s">
        <v>70</v>
      </c>
      <c r="G80" s="102"/>
      <c r="H80" s="102" t="s">
        <v>1172</v>
      </c>
      <c r="I80" s="102" t="s">
        <v>1171</v>
      </c>
      <c r="J80" s="102"/>
      <c r="K80" s="102"/>
      <c r="L80" s="102"/>
      <c r="M80" s="102"/>
      <c r="N80" s="102"/>
      <c r="O80" s="102"/>
      <c r="P80" s="102" t="s">
        <v>1170</v>
      </c>
      <c r="Q80" s="102"/>
      <c r="R80" s="102"/>
      <c r="S80" s="102"/>
      <c r="T80" s="102"/>
      <c r="U80" s="102"/>
      <c r="V80" s="102" t="s">
        <v>1169</v>
      </c>
      <c r="W80" s="102"/>
      <c r="X80" s="102" t="s">
        <v>1169</v>
      </c>
      <c r="Y80" s="102"/>
      <c r="Z80" s="102"/>
      <c r="AA80" s="102" t="s">
        <v>1168</v>
      </c>
    </row>
    <row r="81" spans="1:27" ht="52" x14ac:dyDescent="0.2">
      <c r="A81" s="106" t="s">
        <v>1030</v>
      </c>
      <c r="B81" s="102" t="s">
        <v>1192</v>
      </c>
      <c r="C81" s="102" t="s">
        <v>1191</v>
      </c>
      <c r="D81" s="102" t="s">
        <v>710</v>
      </c>
      <c r="E81" s="102">
        <v>150</v>
      </c>
      <c r="F81" s="102" t="s">
        <v>70</v>
      </c>
      <c r="G81" s="102"/>
      <c r="H81" s="102" t="s">
        <v>1172</v>
      </c>
      <c r="I81" s="102" t="s">
        <v>1171</v>
      </c>
      <c r="J81" s="102"/>
      <c r="K81" s="102"/>
      <c r="L81" s="102"/>
      <c r="M81" s="102"/>
      <c r="N81" s="102"/>
      <c r="O81" s="102"/>
      <c r="P81" s="102" t="s">
        <v>1170</v>
      </c>
      <c r="Q81" s="102"/>
      <c r="R81" s="102"/>
      <c r="S81" s="102"/>
      <c r="T81" s="102"/>
      <c r="U81" s="102"/>
      <c r="V81" s="102" t="s">
        <v>1169</v>
      </c>
      <c r="W81" s="102"/>
      <c r="X81" s="102" t="s">
        <v>1169</v>
      </c>
      <c r="Y81" s="102"/>
      <c r="Z81" s="102"/>
      <c r="AA81" s="102" t="s">
        <v>1168</v>
      </c>
    </row>
    <row r="82" spans="1:27" ht="52" x14ac:dyDescent="0.2">
      <c r="A82" s="106" t="s">
        <v>1030</v>
      </c>
      <c r="B82" s="102" t="s">
        <v>1190</v>
      </c>
      <c r="C82" s="102" t="s">
        <v>1189</v>
      </c>
      <c r="D82" s="102" t="s">
        <v>710</v>
      </c>
      <c r="E82" s="102">
        <v>150</v>
      </c>
      <c r="F82" s="102" t="s">
        <v>1184</v>
      </c>
      <c r="G82" s="102"/>
      <c r="H82" s="102" t="s">
        <v>1172</v>
      </c>
      <c r="I82" s="102" t="s">
        <v>1171</v>
      </c>
      <c r="J82" s="102"/>
      <c r="K82" s="102"/>
      <c r="L82" s="102"/>
      <c r="M82" s="102"/>
      <c r="N82" s="102"/>
      <c r="O82" s="102"/>
      <c r="P82" s="102" t="s">
        <v>1170</v>
      </c>
      <c r="Q82" s="102"/>
      <c r="R82" s="102"/>
      <c r="S82" s="102"/>
      <c r="T82" s="102"/>
      <c r="U82" s="102"/>
      <c r="V82" s="102" t="s">
        <v>1169</v>
      </c>
      <c r="W82" s="102"/>
      <c r="X82" s="102" t="s">
        <v>1169</v>
      </c>
      <c r="Y82" s="102"/>
      <c r="Z82" s="102"/>
      <c r="AA82" s="102" t="s">
        <v>1168</v>
      </c>
    </row>
    <row r="83" spans="1:27" ht="52" x14ac:dyDescent="0.2">
      <c r="A83" s="106" t="s">
        <v>1030</v>
      </c>
      <c r="B83" s="102" t="s">
        <v>1188</v>
      </c>
      <c r="C83" s="102" t="s">
        <v>1187</v>
      </c>
      <c r="D83" s="102" t="s">
        <v>710</v>
      </c>
      <c r="E83" s="102">
        <v>150</v>
      </c>
      <c r="F83" s="102" t="s">
        <v>1184</v>
      </c>
      <c r="G83" s="102"/>
      <c r="H83" s="102" t="s">
        <v>1172</v>
      </c>
      <c r="I83" s="102" t="s">
        <v>1171</v>
      </c>
      <c r="J83" s="102"/>
      <c r="K83" s="102"/>
      <c r="L83" s="102"/>
      <c r="M83" s="102"/>
      <c r="N83" s="102"/>
      <c r="O83" s="102"/>
      <c r="P83" s="102" t="s">
        <v>1170</v>
      </c>
      <c r="Q83" s="102"/>
      <c r="R83" s="102"/>
      <c r="S83" s="102"/>
      <c r="T83" s="102"/>
      <c r="U83" s="102"/>
      <c r="V83" s="102" t="s">
        <v>1169</v>
      </c>
      <c r="W83" s="102"/>
      <c r="X83" s="102" t="s">
        <v>1169</v>
      </c>
      <c r="Y83" s="102"/>
      <c r="Z83" s="102"/>
      <c r="AA83" s="102" t="s">
        <v>1168</v>
      </c>
    </row>
    <row r="84" spans="1:27" ht="52" x14ac:dyDescent="0.2">
      <c r="A84" s="106" t="s">
        <v>1030</v>
      </c>
      <c r="B84" s="102" t="s">
        <v>1186</v>
      </c>
      <c r="C84" s="102" t="s">
        <v>1185</v>
      </c>
      <c r="D84" s="102" t="s">
        <v>710</v>
      </c>
      <c r="E84" s="102">
        <v>150</v>
      </c>
      <c r="F84" s="102" t="s">
        <v>1184</v>
      </c>
      <c r="G84" s="102"/>
      <c r="H84" s="102" t="s">
        <v>1172</v>
      </c>
      <c r="I84" s="102" t="s">
        <v>1171</v>
      </c>
      <c r="J84" s="102"/>
      <c r="K84" s="102"/>
      <c r="L84" s="102"/>
      <c r="M84" s="102"/>
      <c r="N84" s="102"/>
      <c r="O84" s="102"/>
      <c r="P84" s="102" t="s">
        <v>1170</v>
      </c>
      <c r="Q84" s="102"/>
      <c r="R84" s="102"/>
      <c r="S84" s="102"/>
      <c r="T84" s="102"/>
      <c r="U84" s="102"/>
      <c r="V84" s="102" t="s">
        <v>1169</v>
      </c>
      <c r="W84" s="102"/>
      <c r="X84" s="102" t="s">
        <v>1169</v>
      </c>
      <c r="Y84" s="102"/>
      <c r="Z84" s="102"/>
      <c r="AA84" s="102" t="s">
        <v>1168</v>
      </c>
    </row>
    <row r="85" spans="1:27" ht="39" x14ac:dyDescent="0.2">
      <c r="A85" s="106" t="s">
        <v>1030</v>
      </c>
      <c r="B85" s="102" t="s">
        <v>1183</v>
      </c>
      <c r="C85" s="102" t="s">
        <v>1182</v>
      </c>
      <c r="D85" s="102" t="s">
        <v>711</v>
      </c>
      <c r="E85" s="102">
        <v>150</v>
      </c>
      <c r="F85" s="102" t="s">
        <v>1173</v>
      </c>
      <c r="G85" s="102"/>
      <c r="H85" s="102" t="s">
        <v>1172</v>
      </c>
      <c r="I85" s="102" t="s">
        <v>1171</v>
      </c>
      <c r="J85" s="102"/>
      <c r="K85" s="102"/>
      <c r="L85" s="102"/>
      <c r="M85" s="102"/>
      <c r="N85" s="102"/>
      <c r="O85" s="102"/>
      <c r="P85" s="102" t="s">
        <v>1170</v>
      </c>
      <c r="Q85" s="102"/>
      <c r="R85" s="102"/>
      <c r="S85" s="102"/>
      <c r="T85" s="102"/>
      <c r="U85" s="102"/>
      <c r="V85" s="102" t="s">
        <v>1169</v>
      </c>
      <c r="W85" s="102"/>
      <c r="X85" s="102" t="s">
        <v>1169</v>
      </c>
      <c r="Y85" s="102"/>
      <c r="Z85" s="102"/>
      <c r="AA85" s="102" t="s">
        <v>1168</v>
      </c>
    </row>
    <row r="86" spans="1:27" ht="26" x14ac:dyDescent="0.2">
      <c r="A86" s="106" t="s">
        <v>1030</v>
      </c>
      <c r="B86" s="102" t="s">
        <v>1181</v>
      </c>
      <c r="C86" s="102" t="s">
        <v>1180</v>
      </c>
      <c r="D86" s="102" t="s">
        <v>711</v>
      </c>
      <c r="E86" s="102">
        <v>80</v>
      </c>
      <c r="F86" s="102" t="s">
        <v>1173</v>
      </c>
      <c r="G86" s="102"/>
      <c r="H86" s="102" t="s">
        <v>1172</v>
      </c>
      <c r="I86" s="102" t="s">
        <v>1171</v>
      </c>
      <c r="J86" s="102"/>
      <c r="K86" s="102"/>
      <c r="L86" s="102"/>
      <c r="M86" s="102"/>
      <c r="N86" s="102"/>
      <c r="O86" s="102"/>
      <c r="P86" s="102" t="s">
        <v>1170</v>
      </c>
      <c r="Q86" s="102"/>
      <c r="R86" s="102"/>
      <c r="S86" s="102"/>
      <c r="T86" s="102"/>
      <c r="U86" s="102"/>
      <c r="V86" s="102" t="s">
        <v>1169</v>
      </c>
      <c r="W86" s="102"/>
      <c r="X86" s="102" t="s">
        <v>1169</v>
      </c>
      <c r="Y86" s="102"/>
      <c r="Z86" s="102"/>
      <c r="AA86" s="102" t="s">
        <v>1168</v>
      </c>
    </row>
    <row r="87" spans="1:27" ht="26" x14ac:dyDescent="0.2">
      <c r="A87" s="106" t="s">
        <v>1030</v>
      </c>
      <c r="B87" s="102" t="s">
        <v>1179</v>
      </c>
      <c r="C87" s="102" t="s">
        <v>1178</v>
      </c>
      <c r="D87" s="102" t="s">
        <v>711</v>
      </c>
      <c r="E87" s="102">
        <v>50</v>
      </c>
      <c r="F87" s="102" t="s">
        <v>1173</v>
      </c>
      <c r="G87" s="102"/>
      <c r="H87" s="102" t="s">
        <v>1172</v>
      </c>
      <c r="I87" s="102" t="s">
        <v>1171</v>
      </c>
      <c r="J87" s="102"/>
      <c r="K87" s="102"/>
      <c r="L87" s="102"/>
      <c r="M87" s="102"/>
      <c r="N87" s="102"/>
      <c r="O87" s="102"/>
      <c r="P87" s="102" t="s">
        <v>1170</v>
      </c>
      <c r="Q87" s="102"/>
      <c r="R87" s="102"/>
      <c r="S87" s="102"/>
      <c r="T87" s="102"/>
      <c r="U87" s="102"/>
      <c r="V87" s="102" t="s">
        <v>1169</v>
      </c>
      <c r="W87" s="102"/>
      <c r="X87" s="102" t="s">
        <v>1169</v>
      </c>
      <c r="Y87" s="102"/>
      <c r="Z87" s="102"/>
      <c r="AA87" s="102" t="s">
        <v>1168</v>
      </c>
    </row>
    <row r="88" spans="1:27" ht="26" x14ac:dyDescent="0.2">
      <c r="A88" s="106" t="s">
        <v>1030</v>
      </c>
      <c r="B88" s="102" t="s">
        <v>1177</v>
      </c>
      <c r="C88" s="102" t="s">
        <v>1176</v>
      </c>
      <c r="D88" s="102" t="s">
        <v>711</v>
      </c>
      <c r="E88" s="102">
        <v>50</v>
      </c>
      <c r="F88" s="102" t="s">
        <v>1173</v>
      </c>
      <c r="G88" s="102"/>
      <c r="H88" s="102" t="s">
        <v>1172</v>
      </c>
      <c r="I88" s="102" t="s">
        <v>1171</v>
      </c>
      <c r="J88" s="102"/>
      <c r="K88" s="102"/>
      <c r="L88" s="102"/>
      <c r="M88" s="102"/>
      <c r="N88" s="102"/>
      <c r="O88" s="102"/>
      <c r="P88" s="102" t="s">
        <v>1170</v>
      </c>
      <c r="Q88" s="102"/>
      <c r="R88" s="102"/>
      <c r="S88" s="102"/>
      <c r="T88" s="102"/>
      <c r="U88" s="102"/>
      <c r="V88" s="102" t="s">
        <v>1169</v>
      </c>
      <c r="W88" s="102"/>
      <c r="X88" s="102" t="s">
        <v>1169</v>
      </c>
      <c r="Y88" s="102"/>
      <c r="Z88" s="102"/>
      <c r="AA88" s="102" t="s">
        <v>1168</v>
      </c>
    </row>
    <row r="89" spans="1:27" ht="39" x14ac:dyDescent="0.2">
      <c r="A89" s="106" t="s">
        <v>1030</v>
      </c>
      <c r="B89" s="102" t="s">
        <v>1175</v>
      </c>
      <c r="C89" s="102" t="s">
        <v>1174</v>
      </c>
      <c r="D89" s="102" t="s">
        <v>711</v>
      </c>
      <c r="E89" s="102">
        <v>80</v>
      </c>
      <c r="F89" s="102" t="s">
        <v>1173</v>
      </c>
      <c r="G89" s="102"/>
      <c r="H89" s="102" t="s">
        <v>1172</v>
      </c>
      <c r="I89" s="102" t="s">
        <v>1171</v>
      </c>
      <c r="J89" s="102"/>
      <c r="K89" s="102"/>
      <c r="L89" s="102"/>
      <c r="M89" s="102"/>
      <c r="N89" s="102"/>
      <c r="O89" s="102"/>
      <c r="P89" s="102" t="s">
        <v>1170</v>
      </c>
      <c r="Q89" s="102"/>
      <c r="R89" s="102"/>
      <c r="S89" s="102"/>
      <c r="T89" s="102"/>
      <c r="U89" s="102"/>
      <c r="V89" s="102" t="s">
        <v>1169</v>
      </c>
      <c r="W89" s="102"/>
      <c r="X89" s="102" t="s">
        <v>1169</v>
      </c>
      <c r="Y89" s="102"/>
      <c r="Z89" s="102"/>
      <c r="AA89" s="102" t="s">
        <v>1168</v>
      </c>
    </row>
    <row r="90" spans="1:27" ht="39" x14ac:dyDescent="0.2">
      <c r="A90" s="105" t="s">
        <v>1034</v>
      </c>
      <c r="B90" s="102" t="s">
        <v>1167</v>
      </c>
      <c r="C90" s="102" t="s">
        <v>1166</v>
      </c>
      <c r="D90" s="102" t="s">
        <v>711</v>
      </c>
      <c r="E90" s="102">
        <v>450</v>
      </c>
      <c r="F90" s="102" t="s">
        <v>1069</v>
      </c>
      <c r="G90" s="102" t="s">
        <v>350</v>
      </c>
      <c r="H90" s="102" t="s">
        <v>1060</v>
      </c>
      <c r="I90" s="102" t="s">
        <v>1065</v>
      </c>
      <c r="J90" s="102"/>
      <c r="K90" s="102"/>
      <c r="L90" s="102"/>
      <c r="M90" s="102"/>
      <c r="N90" s="102"/>
      <c r="O90" s="102"/>
      <c r="P90" s="102" t="s">
        <v>1058</v>
      </c>
      <c r="Q90" s="102">
        <v>7.2000000000000005E-4</v>
      </c>
      <c r="R90" s="102"/>
      <c r="S90" s="102">
        <v>924.7</v>
      </c>
      <c r="T90" s="102">
        <v>1063</v>
      </c>
      <c r="U90" s="102">
        <v>107.7</v>
      </c>
      <c r="V90" s="102"/>
      <c r="W90" s="102">
        <v>20</v>
      </c>
      <c r="X90" s="102">
        <v>30</v>
      </c>
      <c r="Y90" s="102"/>
      <c r="Z90" s="102"/>
      <c r="AA90" s="102" t="s">
        <v>1057</v>
      </c>
    </row>
    <row r="91" spans="1:27" ht="39" x14ac:dyDescent="0.2">
      <c r="A91" s="105" t="s">
        <v>1034</v>
      </c>
      <c r="B91" s="102" t="s">
        <v>1165</v>
      </c>
      <c r="C91" s="102" t="s">
        <v>1164</v>
      </c>
      <c r="D91" s="102" t="s">
        <v>714</v>
      </c>
      <c r="E91" s="102">
        <v>600</v>
      </c>
      <c r="F91" s="102" t="s">
        <v>1069</v>
      </c>
      <c r="G91" s="102" t="s">
        <v>92</v>
      </c>
      <c r="H91" s="102" t="s">
        <v>1060</v>
      </c>
      <c r="I91" s="102" t="s">
        <v>1059</v>
      </c>
      <c r="J91" s="102"/>
      <c r="K91" s="102"/>
      <c r="L91" s="102"/>
      <c r="M91" s="102"/>
      <c r="N91" s="102"/>
      <c r="O91" s="102"/>
      <c r="P91" s="102" t="s">
        <v>1058</v>
      </c>
      <c r="Q91" s="102">
        <v>3.2099999999999997E-2</v>
      </c>
      <c r="R91" s="102"/>
      <c r="S91" s="102">
        <v>3675</v>
      </c>
      <c r="T91" s="102">
        <v>4227</v>
      </c>
      <c r="U91" s="102">
        <v>417</v>
      </c>
      <c r="V91" s="102"/>
      <c r="W91" s="102">
        <v>20</v>
      </c>
      <c r="X91" s="102">
        <v>30</v>
      </c>
      <c r="Y91" s="102"/>
      <c r="Z91" s="102"/>
      <c r="AA91" s="102" t="s">
        <v>1057</v>
      </c>
    </row>
    <row r="92" spans="1:27" ht="39" x14ac:dyDescent="0.2">
      <c r="A92" s="105" t="s">
        <v>1034</v>
      </c>
      <c r="B92" s="102" t="s">
        <v>1163</v>
      </c>
      <c r="C92" s="102" t="s">
        <v>1162</v>
      </c>
      <c r="D92" s="102" t="s">
        <v>711</v>
      </c>
      <c r="E92" s="102">
        <v>450</v>
      </c>
      <c r="F92" s="102" t="s">
        <v>1069</v>
      </c>
      <c r="G92" s="102" t="s">
        <v>350</v>
      </c>
      <c r="H92" s="102" t="s">
        <v>1060</v>
      </c>
      <c r="I92" s="102" t="s">
        <v>1065</v>
      </c>
      <c r="J92" s="102"/>
      <c r="K92" s="102"/>
      <c r="L92" s="102"/>
      <c r="M92" s="102"/>
      <c r="N92" s="102"/>
      <c r="O92" s="102"/>
      <c r="P92" s="102" t="s">
        <v>1058</v>
      </c>
      <c r="Q92" s="102">
        <v>7.2000000000000005E-4</v>
      </c>
      <c r="R92" s="102"/>
      <c r="S92" s="102">
        <v>880</v>
      </c>
      <c r="T92" s="102">
        <v>1012</v>
      </c>
      <c r="U92" s="102">
        <v>107.4</v>
      </c>
      <c r="V92" s="102"/>
      <c r="W92" s="102">
        <v>20</v>
      </c>
      <c r="X92" s="102">
        <v>30</v>
      </c>
      <c r="Y92" s="102"/>
      <c r="Z92" s="102"/>
      <c r="AA92" s="102" t="s">
        <v>1057</v>
      </c>
    </row>
    <row r="93" spans="1:27" ht="39" x14ac:dyDescent="0.2">
      <c r="A93" s="105" t="s">
        <v>1034</v>
      </c>
      <c r="B93" s="102" t="s">
        <v>1161</v>
      </c>
      <c r="C93" s="102" t="s">
        <v>1160</v>
      </c>
      <c r="D93" s="102" t="s">
        <v>711</v>
      </c>
      <c r="E93" s="102">
        <v>300</v>
      </c>
      <c r="F93" s="102" t="s">
        <v>1069</v>
      </c>
      <c r="G93" s="102" t="s">
        <v>350</v>
      </c>
      <c r="H93" s="102" t="s">
        <v>1060</v>
      </c>
      <c r="I93" s="102" t="s">
        <v>1065</v>
      </c>
      <c r="J93" s="102"/>
      <c r="K93" s="102"/>
      <c r="L93" s="102"/>
      <c r="M93" s="102"/>
      <c r="N93" s="102"/>
      <c r="O93" s="102"/>
      <c r="P93" s="102" t="s">
        <v>1058</v>
      </c>
      <c r="Q93" s="102">
        <v>7.2000000000000005E-4</v>
      </c>
      <c r="R93" s="102"/>
      <c r="S93" s="102">
        <v>326</v>
      </c>
      <c r="T93" s="102">
        <v>375</v>
      </c>
      <c r="U93" s="102">
        <v>108.2</v>
      </c>
      <c r="V93" s="102"/>
      <c r="W93" s="102">
        <v>20</v>
      </c>
      <c r="X93" s="102">
        <v>30</v>
      </c>
      <c r="Y93" s="102"/>
      <c r="Z93" s="102"/>
      <c r="AA93" s="102" t="s">
        <v>1057</v>
      </c>
    </row>
    <row r="94" spans="1:27" ht="39" x14ac:dyDescent="0.2">
      <c r="A94" s="105" t="s">
        <v>1034</v>
      </c>
      <c r="B94" s="102" t="s">
        <v>1159</v>
      </c>
      <c r="C94" s="102" t="s">
        <v>1158</v>
      </c>
      <c r="D94" s="102" t="s">
        <v>711</v>
      </c>
      <c r="E94" s="102">
        <v>400</v>
      </c>
      <c r="F94" s="102" t="s">
        <v>1069</v>
      </c>
      <c r="G94" s="102" t="s">
        <v>350</v>
      </c>
      <c r="H94" s="102" t="s">
        <v>1060</v>
      </c>
      <c r="I94" s="102" t="s">
        <v>1065</v>
      </c>
      <c r="J94" s="102"/>
      <c r="K94" s="102"/>
      <c r="L94" s="102"/>
      <c r="M94" s="102"/>
      <c r="N94" s="102"/>
      <c r="O94" s="102"/>
      <c r="P94" s="102" t="s">
        <v>1058</v>
      </c>
      <c r="Q94" s="102">
        <v>7.2000000000000005E-4</v>
      </c>
      <c r="R94" s="102"/>
      <c r="S94" s="102">
        <v>725</v>
      </c>
      <c r="T94" s="102">
        <v>833.7</v>
      </c>
      <c r="U94" s="102">
        <v>107.3</v>
      </c>
      <c r="V94" s="102"/>
      <c r="W94" s="102">
        <v>20</v>
      </c>
      <c r="X94" s="102">
        <v>30</v>
      </c>
      <c r="Y94" s="102"/>
      <c r="Z94" s="102"/>
      <c r="AA94" s="102" t="s">
        <v>1057</v>
      </c>
    </row>
    <row r="95" spans="1:27" ht="39" x14ac:dyDescent="0.2">
      <c r="A95" s="105" t="s">
        <v>1034</v>
      </c>
      <c r="B95" s="102" t="s">
        <v>1157</v>
      </c>
      <c r="C95" s="102" t="s">
        <v>1156</v>
      </c>
      <c r="D95" s="102" t="s">
        <v>714</v>
      </c>
      <c r="E95" s="102">
        <v>600</v>
      </c>
      <c r="F95" s="102" t="s">
        <v>1069</v>
      </c>
      <c r="G95" s="102" t="s">
        <v>92</v>
      </c>
      <c r="H95" s="102" t="s">
        <v>1060</v>
      </c>
      <c r="I95" s="102" t="s">
        <v>1059</v>
      </c>
      <c r="J95" s="102"/>
      <c r="K95" s="102"/>
      <c r="L95" s="102"/>
      <c r="M95" s="102"/>
      <c r="N95" s="102"/>
      <c r="O95" s="102"/>
      <c r="P95" s="102" t="s">
        <v>1058</v>
      </c>
      <c r="Q95" s="102">
        <v>4.02E-2</v>
      </c>
      <c r="R95" s="102"/>
      <c r="S95" s="102">
        <v>2461</v>
      </c>
      <c r="T95" s="102">
        <v>2830</v>
      </c>
      <c r="U95" s="102">
        <v>365</v>
      </c>
      <c r="V95" s="102"/>
      <c r="W95" s="102">
        <v>20</v>
      </c>
      <c r="X95" s="102">
        <v>30</v>
      </c>
      <c r="Y95" s="102"/>
      <c r="Z95" s="102"/>
      <c r="AA95" s="102" t="s">
        <v>1057</v>
      </c>
    </row>
    <row r="96" spans="1:27" ht="39" x14ac:dyDescent="0.2">
      <c r="A96" s="105" t="s">
        <v>1034</v>
      </c>
      <c r="B96" s="102" t="s">
        <v>1155</v>
      </c>
      <c r="C96" s="102" t="s">
        <v>1154</v>
      </c>
      <c r="D96" s="102" t="s">
        <v>711</v>
      </c>
      <c r="E96" s="102">
        <v>350</v>
      </c>
      <c r="F96" s="102" t="s">
        <v>1069</v>
      </c>
      <c r="G96" s="102" t="s">
        <v>350</v>
      </c>
      <c r="H96" s="102" t="s">
        <v>1060</v>
      </c>
      <c r="I96" s="102" t="s">
        <v>1065</v>
      </c>
      <c r="J96" s="102"/>
      <c r="K96" s="102"/>
      <c r="L96" s="102"/>
      <c r="M96" s="102"/>
      <c r="N96" s="102"/>
      <c r="O96" s="102"/>
      <c r="P96" s="102" t="s">
        <v>1058</v>
      </c>
      <c r="Q96" s="102">
        <v>7.2000000000000005E-4</v>
      </c>
      <c r="R96" s="102"/>
      <c r="S96" s="102">
        <v>697</v>
      </c>
      <c r="T96" s="102">
        <v>802</v>
      </c>
      <c r="U96" s="102">
        <v>105.2</v>
      </c>
      <c r="V96" s="102"/>
      <c r="W96" s="102">
        <v>20</v>
      </c>
      <c r="X96" s="102">
        <v>30</v>
      </c>
      <c r="Y96" s="102"/>
      <c r="Z96" s="102"/>
      <c r="AA96" s="102" t="s">
        <v>1057</v>
      </c>
    </row>
    <row r="97" spans="1:27" ht="39" x14ac:dyDescent="0.2">
      <c r="A97" s="105" t="s">
        <v>1034</v>
      </c>
      <c r="B97" s="102" t="s">
        <v>1153</v>
      </c>
      <c r="C97" s="102" t="s">
        <v>1152</v>
      </c>
      <c r="D97" s="102" t="s">
        <v>714</v>
      </c>
      <c r="E97" s="102">
        <v>400</v>
      </c>
      <c r="F97" s="102" t="s">
        <v>1069</v>
      </c>
      <c r="G97" s="102" t="s">
        <v>92</v>
      </c>
      <c r="H97" s="102" t="s">
        <v>1060</v>
      </c>
      <c r="I97" s="102" t="s">
        <v>1059</v>
      </c>
      <c r="J97" s="102"/>
      <c r="K97" s="102"/>
      <c r="L97" s="102"/>
      <c r="M97" s="102"/>
      <c r="N97" s="102"/>
      <c r="O97" s="102"/>
      <c r="P97" s="102" t="s">
        <v>1058</v>
      </c>
      <c r="Q97" s="102">
        <v>3.2099999999999997E-2</v>
      </c>
      <c r="R97" s="102"/>
      <c r="S97" s="102">
        <v>1202</v>
      </c>
      <c r="T97" s="102">
        <v>1382</v>
      </c>
      <c r="U97" s="102">
        <v>414</v>
      </c>
      <c r="V97" s="102"/>
      <c r="W97" s="102">
        <v>20</v>
      </c>
      <c r="X97" s="102">
        <v>30</v>
      </c>
      <c r="Y97" s="102"/>
      <c r="Z97" s="102"/>
      <c r="AA97" s="102" t="s">
        <v>1057</v>
      </c>
    </row>
    <row r="98" spans="1:27" ht="39" x14ac:dyDescent="0.2">
      <c r="A98" s="105" t="s">
        <v>1034</v>
      </c>
      <c r="B98" s="102" t="s">
        <v>1151</v>
      </c>
      <c r="C98" s="102" t="s">
        <v>1150</v>
      </c>
      <c r="D98" s="102" t="s">
        <v>714</v>
      </c>
      <c r="E98" s="102">
        <v>350</v>
      </c>
      <c r="F98" s="102" t="s">
        <v>1069</v>
      </c>
      <c r="G98" s="102" t="s">
        <v>92</v>
      </c>
      <c r="H98" s="102" t="s">
        <v>1060</v>
      </c>
      <c r="I98" s="102" t="s">
        <v>1059</v>
      </c>
      <c r="J98" s="102"/>
      <c r="K98" s="102"/>
      <c r="L98" s="102"/>
      <c r="M98" s="102"/>
      <c r="N98" s="102"/>
      <c r="O98" s="102"/>
      <c r="P98" s="102" t="s">
        <v>1058</v>
      </c>
      <c r="Q98" s="102">
        <v>3.5200000000000002E-2</v>
      </c>
      <c r="R98" s="102"/>
      <c r="S98" s="102">
        <v>971.9</v>
      </c>
      <c r="T98" s="102">
        <v>1118</v>
      </c>
      <c r="U98" s="102">
        <v>449</v>
      </c>
      <c r="V98" s="102"/>
      <c r="W98" s="102">
        <v>20</v>
      </c>
      <c r="X98" s="102">
        <v>30</v>
      </c>
      <c r="Y98" s="102"/>
      <c r="Z98" s="102"/>
      <c r="AA98" s="102" t="s">
        <v>1057</v>
      </c>
    </row>
    <row r="99" spans="1:27" ht="39" x14ac:dyDescent="0.2">
      <c r="A99" s="105" t="s">
        <v>1034</v>
      </c>
      <c r="B99" s="102" t="s">
        <v>1149</v>
      </c>
      <c r="C99" s="102" t="s">
        <v>1148</v>
      </c>
      <c r="D99" s="102" t="s">
        <v>711</v>
      </c>
      <c r="E99" s="102">
        <v>300</v>
      </c>
      <c r="F99" s="102" t="s">
        <v>1069</v>
      </c>
      <c r="G99" s="102" t="s">
        <v>350</v>
      </c>
      <c r="H99" s="102" t="s">
        <v>1060</v>
      </c>
      <c r="I99" s="102" t="s">
        <v>1065</v>
      </c>
      <c r="J99" s="102"/>
      <c r="K99" s="102"/>
      <c r="L99" s="102"/>
      <c r="M99" s="102"/>
      <c r="N99" s="102"/>
      <c r="O99" s="102"/>
      <c r="P99" s="102" t="s">
        <v>1058</v>
      </c>
      <c r="Q99" s="102">
        <v>7.2000000000000005E-4</v>
      </c>
      <c r="R99" s="102"/>
      <c r="S99" s="102">
        <v>671.2</v>
      </c>
      <c r="T99" s="102">
        <v>771.9</v>
      </c>
      <c r="U99" s="102">
        <v>248</v>
      </c>
      <c r="V99" s="102"/>
      <c r="W99" s="102">
        <v>20</v>
      </c>
      <c r="X99" s="102">
        <v>30</v>
      </c>
      <c r="Y99" s="102"/>
      <c r="Z99" s="102"/>
      <c r="AA99" s="102" t="s">
        <v>1057</v>
      </c>
    </row>
    <row r="100" spans="1:27" ht="26" x14ac:dyDescent="0.2">
      <c r="A100" s="105" t="s">
        <v>1034</v>
      </c>
      <c r="B100" s="102" t="s">
        <v>1147</v>
      </c>
      <c r="C100" s="102" t="s">
        <v>1146</v>
      </c>
      <c r="D100" s="102" t="s">
        <v>714</v>
      </c>
      <c r="E100" s="102">
        <v>500</v>
      </c>
      <c r="F100" s="102" t="s">
        <v>1069</v>
      </c>
      <c r="G100" s="102" t="s">
        <v>92</v>
      </c>
      <c r="H100" s="102" t="s">
        <v>1060</v>
      </c>
      <c r="I100" s="102" t="s">
        <v>1059</v>
      </c>
      <c r="J100" s="102"/>
      <c r="K100" s="102"/>
      <c r="L100" s="102"/>
      <c r="M100" s="102"/>
      <c r="N100" s="102"/>
      <c r="O100" s="102"/>
      <c r="P100" s="102" t="s">
        <v>1058</v>
      </c>
      <c r="Q100" s="102"/>
      <c r="R100" s="102"/>
      <c r="S100" s="102">
        <v>767.3</v>
      </c>
      <c r="T100" s="102">
        <v>959.13</v>
      </c>
      <c r="U100" s="102"/>
      <c r="V100" s="102"/>
      <c r="W100" s="102">
        <v>35</v>
      </c>
      <c r="X100" s="102">
        <v>50</v>
      </c>
      <c r="Y100" s="102"/>
      <c r="Z100" s="102"/>
      <c r="AA100" s="102" t="s">
        <v>1057</v>
      </c>
    </row>
    <row r="101" spans="1:27" ht="26" x14ac:dyDescent="0.2">
      <c r="A101" s="105" t="s">
        <v>1034</v>
      </c>
      <c r="B101" s="102" t="s">
        <v>1145</v>
      </c>
      <c r="C101" s="102" t="s">
        <v>1144</v>
      </c>
      <c r="D101" s="102" t="s">
        <v>711</v>
      </c>
      <c r="E101" s="102">
        <v>200</v>
      </c>
      <c r="F101" s="102" t="s">
        <v>1069</v>
      </c>
      <c r="G101" s="102" t="s">
        <v>350</v>
      </c>
      <c r="H101" s="102" t="s">
        <v>1060</v>
      </c>
      <c r="I101" s="102" t="s">
        <v>1065</v>
      </c>
      <c r="J101" s="102"/>
      <c r="K101" s="102"/>
      <c r="L101" s="102"/>
      <c r="M101" s="102"/>
      <c r="N101" s="102"/>
      <c r="O101" s="102"/>
      <c r="P101" s="102" t="s">
        <v>1058</v>
      </c>
      <c r="Q101" s="102">
        <v>7.2000000000000005E-4</v>
      </c>
      <c r="R101" s="102"/>
      <c r="S101" s="102">
        <v>254.5</v>
      </c>
      <c r="T101" s="102">
        <v>292.60000000000002</v>
      </c>
      <c r="U101" s="102">
        <v>246.7</v>
      </c>
      <c r="V101" s="102"/>
      <c r="W101" s="102">
        <v>20</v>
      </c>
      <c r="X101" s="102">
        <v>30</v>
      </c>
      <c r="Y101" s="102"/>
      <c r="Z101" s="102"/>
      <c r="AA101" s="102" t="s">
        <v>1057</v>
      </c>
    </row>
    <row r="102" spans="1:27" ht="26" x14ac:dyDescent="0.2">
      <c r="A102" s="105" t="s">
        <v>1034</v>
      </c>
      <c r="B102" s="102" t="s">
        <v>1143</v>
      </c>
      <c r="C102" s="102" t="s">
        <v>1142</v>
      </c>
      <c r="D102" s="102" t="s">
        <v>714</v>
      </c>
      <c r="E102" s="102">
        <v>500</v>
      </c>
      <c r="F102" s="102" t="s">
        <v>1069</v>
      </c>
      <c r="G102" s="102" t="s">
        <v>92</v>
      </c>
      <c r="H102" s="102" t="s">
        <v>1060</v>
      </c>
      <c r="I102" s="102" t="s">
        <v>1059</v>
      </c>
      <c r="J102" s="102"/>
      <c r="K102" s="102"/>
      <c r="L102" s="102"/>
      <c r="M102" s="102"/>
      <c r="N102" s="102"/>
      <c r="O102" s="102"/>
      <c r="P102" s="102" t="s">
        <v>1058</v>
      </c>
      <c r="Q102" s="102"/>
      <c r="R102" s="102"/>
      <c r="S102" s="102">
        <v>578.1</v>
      </c>
      <c r="T102" s="102">
        <v>722.63</v>
      </c>
      <c r="U102" s="102"/>
      <c r="V102" s="102"/>
      <c r="W102" s="102">
        <v>35</v>
      </c>
      <c r="X102" s="102">
        <v>50</v>
      </c>
      <c r="Y102" s="102"/>
      <c r="Z102" s="102"/>
      <c r="AA102" s="102" t="s">
        <v>1057</v>
      </c>
    </row>
    <row r="103" spans="1:27" ht="39" x14ac:dyDescent="0.2">
      <c r="A103" s="105" t="s">
        <v>1034</v>
      </c>
      <c r="B103" s="102" t="s">
        <v>1141</v>
      </c>
      <c r="C103" s="102" t="s">
        <v>1140</v>
      </c>
      <c r="D103" s="102" t="s">
        <v>711</v>
      </c>
      <c r="E103" s="102">
        <v>350</v>
      </c>
      <c r="F103" s="102" t="s">
        <v>1069</v>
      </c>
      <c r="G103" s="102" t="s">
        <v>350</v>
      </c>
      <c r="H103" s="102" t="s">
        <v>1060</v>
      </c>
      <c r="I103" s="102" t="s">
        <v>1065</v>
      </c>
      <c r="J103" s="102"/>
      <c r="K103" s="102"/>
      <c r="L103" s="102"/>
      <c r="M103" s="102"/>
      <c r="N103" s="102"/>
      <c r="O103" s="102"/>
      <c r="P103" s="102" t="s">
        <v>1058</v>
      </c>
      <c r="Q103" s="102">
        <v>7.2000000000000005E-4</v>
      </c>
      <c r="R103" s="102"/>
      <c r="S103" s="102">
        <v>519</v>
      </c>
      <c r="T103" s="102">
        <v>597</v>
      </c>
      <c r="U103" s="102">
        <v>107.2</v>
      </c>
      <c r="V103" s="102"/>
      <c r="W103" s="102">
        <v>20</v>
      </c>
      <c r="X103" s="102">
        <v>30</v>
      </c>
      <c r="Y103" s="102"/>
      <c r="Z103" s="102"/>
      <c r="AA103" s="102" t="s">
        <v>1057</v>
      </c>
    </row>
    <row r="104" spans="1:27" ht="39" x14ac:dyDescent="0.2">
      <c r="A104" s="105" t="s">
        <v>1034</v>
      </c>
      <c r="B104" s="102" t="s">
        <v>1139</v>
      </c>
      <c r="C104" s="102" t="s">
        <v>1138</v>
      </c>
      <c r="D104" s="102" t="s">
        <v>711</v>
      </c>
      <c r="E104" s="102">
        <v>350</v>
      </c>
      <c r="F104" s="102" t="s">
        <v>1069</v>
      </c>
      <c r="G104" s="102" t="s">
        <v>350</v>
      </c>
      <c r="H104" s="102" t="s">
        <v>1060</v>
      </c>
      <c r="I104" s="102" t="s">
        <v>1065</v>
      </c>
      <c r="J104" s="102"/>
      <c r="K104" s="102"/>
      <c r="L104" s="102"/>
      <c r="M104" s="102"/>
      <c r="N104" s="102"/>
      <c r="O104" s="102"/>
      <c r="P104" s="102" t="s">
        <v>1058</v>
      </c>
      <c r="Q104" s="102">
        <v>7.2000000000000005E-4</v>
      </c>
      <c r="R104" s="102"/>
      <c r="S104" s="102">
        <v>434</v>
      </c>
      <c r="T104" s="102">
        <v>499</v>
      </c>
      <c r="U104" s="102">
        <v>108</v>
      </c>
      <c r="V104" s="102"/>
      <c r="W104" s="102">
        <v>20</v>
      </c>
      <c r="X104" s="102">
        <v>30</v>
      </c>
      <c r="Y104" s="102"/>
      <c r="Z104" s="102"/>
      <c r="AA104" s="102" t="s">
        <v>1057</v>
      </c>
    </row>
    <row r="105" spans="1:27" ht="39" x14ac:dyDescent="0.2">
      <c r="A105" s="105" t="s">
        <v>1034</v>
      </c>
      <c r="B105" s="102" t="s">
        <v>1137</v>
      </c>
      <c r="C105" s="102" t="s">
        <v>1136</v>
      </c>
      <c r="D105" s="102" t="s">
        <v>714</v>
      </c>
      <c r="E105" s="102">
        <v>400</v>
      </c>
      <c r="F105" s="102" t="s">
        <v>1069</v>
      </c>
      <c r="G105" s="102" t="s">
        <v>92</v>
      </c>
      <c r="H105" s="102" t="s">
        <v>1060</v>
      </c>
      <c r="I105" s="102" t="s">
        <v>1059</v>
      </c>
      <c r="J105" s="102"/>
      <c r="K105" s="102"/>
      <c r="L105" s="102"/>
      <c r="M105" s="102"/>
      <c r="N105" s="102"/>
      <c r="O105" s="102"/>
      <c r="P105" s="102" t="s">
        <v>1058</v>
      </c>
      <c r="Q105" s="102">
        <v>3.1899999999999998E-2</v>
      </c>
      <c r="R105" s="102"/>
      <c r="S105" s="102">
        <v>1228</v>
      </c>
      <c r="T105" s="102">
        <v>1416</v>
      </c>
      <c r="U105" s="102">
        <v>459</v>
      </c>
      <c r="V105" s="102"/>
      <c r="W105" s="102">
        <v>20</v>
      </c>
      <c r="X105" s="102">
        <v>30</v>
      </c>
      <c r="Y105" s="102"/>
      <c r="Z105" s="102"/>
      <c r="AA105" s="102" t="s">
        <v>1057</v>
      </c>
    </row>
    <row r="106" spans="1:27" ht="39" x14ac:dyDescent="0.2">
      <c r="A106" s="105" t="s">
        <v>1034</v>
      </c>
      <c r="B106" s="102" t="s">
        <v>1135</v>
      </c>
      <c r="C106" s="102" t="s">
        <v>1134</v>
      </c>
      <c r="D106" s="102" t="s">
        <v>714</v>
      </c>
      <c r="E106" s="102">
        <v>400</v>
      </c>
      <c r="F106" s="102" t="s">
        <v>1069</v>
      </c>
      <c r="G106" s="102" t="s">
        <v>92</v>
      </c>
      <c r="H106" s="102" t="s">
        <v>1060</v>
      </c>
      <c r="I106" s="102" t="s">
        <v>1059</v>
      </c>
      <c r="J106" s="102"/>
      <c r="K106" s="102"/>
      <c r="L106" s="102"/>
      <c r="M106" s="102"/>
      <c r="N106" s="102"/>
      <c r="O106" s="102"/>
      <c r="P106" s="102" t="s">
        <v>1058</v>
      </c>
      <c r="Q106" s="102">
        <v>3.1899999999999998E-2</v>
      </c>
      <c r="R106" s="102"/>
      <c r="S106" s="102">
        <v>1231</v>
      </c>
      <c r="T106" s="102">
        <v>1416</v>
      </c>
      <c r="U106" s="102">
        <v>515</v>
      </c>
      <c r="V106" s="102"/>
      <c r="W106" s="102">
        <v>20</v>
      </c>
      <c r="X106" s="102">
        <v>30</v>
      </c>
      <c r="Y106" s="102"/>
      <c r="Z106" s="102"/>
      <c r="AA106" s="102" t="s">
        <v>1057</v>
      </c>
    </row>
    <row r="107" spans="1:27" ht="39" x14ac:dyDescent="0.2">
      <c r="A107" s="105" t="s">
        <v>1034</v>
      </c>
      <c r="B107" s="102" t="s">
        <v>1133</v>
      </c>
      <c r="C107" s="102" t="s">
        <v>1132</v>
      </c>
      <c r="D107" s="102" t="s">
        <v>714</v>
      </c>
      <c r="E107" s="102">
        <v>200</v>
      </c>
      <c r="F107" s="102" t="s">
        <v>1069</v>
      </c>
      <c r="G107" s="102" t="s">
        <v>92</v>
      </c>
      <c r="H107" s="102" t="s">
        <v>1060</v>
      </c>
      <c r="I107" s="102" t="s">
        <v>1059</v>
      </c>
      <c r="J107" s="102"/>
      <c r="K107" s="102"/>
      <c r="L107" s="102"/>
      <c r="M107" s="102"/>
      <c r="N107" s="102"/>
      <c r="O107" s="102"/>
      <c r="P107" s="102" t="s">
        <v>1058</v>
      </c>
      <c r="Q107" s="102">
        <v>4.0599999999999997E-2</v>
      </c>
      <c r="R107" s="102"/>
      <c r="S107" s="102">
        <v>285</v>
      </c>
      <c r="T107" s="102">
        <v>328</v>
      </c>
      <c r="U107" s="102">
        <v>667.9</v>
      </c>
      <c r="V107" s="102"/>
      <c r="W107" s="102">
        <v>20</v>
      </c>
      <c r="X107" s="102">
        <v>30</v>
      </c>
      <c r="Y107" s="102"/>
      <c r="Z107" s="102"/>
      <c r="AA107" s="102" t="s">
        <v>1057</v>
      </c>
    </row>
    <row r="108" spans="1:27" ht="39" x14ac:dyDescent="0.2">
      <c r="A108" s="105" t="s">
        <v>1034</v>
      </c>
      <c r="B108" s="102" t="s">
        <v>1131</v>
      </c>
      <c r="C108" s="102" t="s">
        <v>1130</v>
      </c>
      <c r="D108" s="102" t="s">
        <v>711</v>
      </c>
      <c r="E108" s="102">
        <v>350</v>
      </c>
      <c r="F108" s="102" t="s">
        <v>1069</v>
      </c>
      <c r="G108" s="102" t="s">
        <v>350</v>
      </c>
      <c r="H108" s="102" t="s">
        <v>1060</v>
      </c>
      <c r="I108" s="102" t="s">
        <v>1065</v>
      </c>
      <c r="J108" s="102"/>
      <c r="K108" s="102"/>
      <c r="L108" s="102"/>
      <c r="M108" s="102"/>
      <c r="N108" s="102"/>
      <c r="O108" s="102"/>
      <c r="P108" s="102" t="s">
        <v>1058</v>
      </c>
      <c r="Q108" s="102">
        <v>7.2000000000000005E-4</v>
      </c>
      <c r="R108" s="102"/>
      <c r="S108" s="102">
        <v>500</v>
      </c>
      <c r="T108" s="102">
        <v>575</v>
      </c>
      <c r="U108" s="102">
        <v>252.7</v>
      </c>
      <c r="V108" s="102"/>
      <c r="W108" s="102">
        <v>20</v>
      </c>
      <c r="X108" s="102">
        <v>30</v>
      </c>
      <c r="Y108" s="102"/>
      <c r="Z108" s="102"/>
      <c r="AA108" s="102" t="s">
        <v>1057</v>
      </c>
    </row>
    <row r="109" spans="1:27" ht="39" x14ac:dyDescent="0.2">
      <c r="A109" s="105" t="s">
        <v>1034</v>
      </c>
      <c r="B109" s="102" t="s">
        <v>1129</v>
      </c>
      <c r="C109" s="102" t="s">
        <v>1128</v>
      </c>
      <c r="D109" s="102" t="s">
        <v>714</v>
      </c>
      <c r="E109" s="102">
        <v>600</v>
      </c>
      <c r="F109" s="102" t="s">
        <v>1069</v>
      </c>
      <c r="G109" s="102" t="s">
        <v>92</v>
      </c>
      <c r="H109" s="102" t="s">
        <v>1060</v>
      </c>
      <c r="I109" s="102" t="s">
        <v>1059</v>
      </c>
      <c r="J109" s="102"/>
      <c r="K109" s="102"/>
      <c r="L109" s="102"/>
      <c r="M109" s="102"/>
      <c r="N109" s="102"/>
      <c r="O109" s="102"/>
      <c r="P109" s="102" t="s">
        <v>1058</v>
      </c>
      <c r="Q109" s="102">
        <v>2.5399999999999999E-2</v>
      </c>
      <c r="R109" s="102"/>
      <c r="S109" s="102">
        <v>2146</v>
      </c>
      <c r="T109" s="102">
        <v>2468</v>
      </c>
      <c r="U109" s="102">
        <v>370</v>
      </c>
      <c r="V109" s="102"/>
      <c r="W109" s="102">
        <v>20</v>
      </c>
      <c r="X109" s="102">
        <v>30</v>
      </c>
      <c r="Y109" s="102"/>
      <c r="Z109" s="102"/>
      <c r="AA109" s="102" t="s">
        <v>1057</v>
      </c>
    </row>
    <row r="110" spans="1:27" ht="39" x14ac:dyDescent="0.2">
      <c r="A110" s="105" t="s">
        <v>1034</v>
      </c>
      <c r="B110" s="102" t="s">
        <v>1127</v>
      </c>
      <c r="C110" s="102" t="s">
        <v>1126</v>
      </c>
      <c r="D110" s="102" t="s">
        <v>714</v>
      </c>
      <c r="E110" s="102">
        <v>600</v>
      </c>
      <c r="F110" s="102" t="s">
        <v>1069</v>
      </c>
      <c r="G110" s="102" t="s">
        <v>92</v>
      </c>
      <c r="H110" s="102" t="s">
        <v>1060</v>
      </c>
      <c r="I110" s="102" t="s">
        <v>1059</v>
      </c>
      <c r="J110" s="102"/>
      <c r="K110" s="102"/>
      <c r="L110" s="102"/>
      <c r="M110" s="102"/>
      <c r="N110" s="102"/>
      <c r="O110" s="102"/>
      <c r="P110" s="102" t="s">
        <v>1058</v>
      </c>
      <c r="Q110" s="102">
        <v>2.5399999999999999E-2</v>
      </c>
      <c r="R110" s="102"/>
      <c r="S110" s="102">
        <v>2410</v>
      </c>
      <c r="T110" s="102">
        <v>2771</v>
      </c>
      <c r="U110" s="102">
        <v>370</v>
      </c>
      <c r="V110" s="102"/>
      <c r="W110" s="102">
        <v>20</v>
      </c>
      <c r="X110" s="102">
        <v>30</v>
      </c>
      <c r="Y110" s="102"/>
      <c r="Z110" s="102"/>
      <c r="AA110" s="102" t="s">
        <v>1057</v>
      </c>
    </row>
    <row r="111" spans="1:27" ht="26" x14ac:dyDescent="0.2">
      <c r="A111" s="105" t="s">
        <v>1034</v>
      </c>
      <c r="B111" s="102" t="s">
        <v>1125</v>
      </c>
      <c r="C111" s="102" t="s">
        <v>1124</v>
      </c>
      <c r="D111" s="102" t="s">
        <v>711</v>
      </c>
      <c r="E111" s="102">
        <v>400</v>
      </c>
      <c r="F111" s="102" t="s">
        <v>1069</v>
      </c>
      <c r="G111" s="102" t="s">
        <v>350</v>
      </c>
      <c r="H111" s="102" t="s">
        <v>1060</v>
      </c>
      <c r="I111" s="102" t="s">
        <v>1065</v>
      </c>
      <c r="J111" s="102"/>
      <c r="K111" s="102"/>
      <c r="L111" s="102"/>
      <c r="M111" s="102"/>
      <c r="N111" s="102"/>
      <c r="O111" s="102"/>
      <c r="P111" s="102" t="s">
        <v>1058</v>
      </c>
      <c r="Q111" s="102">
        <v>7.2000000000000005E-4</v>
      </c>
      <c r="R111" s="102"/>
      <c r="S111" s="102">
        <v>1260</v>
      </c>
      <c r="T111" s="102">
        <v>1449</v>
      </c>
      <c r="U111" s="102">
        <v>102.4</v>
      </c>
      <c r="V111" s="102"/>
      <c r="W111" s="102">
        <v>20</v>
      </c>
      <c r="X111" s="102">
        <v>30</v>
      </c>
      <c r="Y111" s="102"/>
      <c r="Z111" s="102"/>
      <c r="AA111" s="102" t="s">
        <v>1057</v>
      </c>
    </row>
    <row r="112" spans="1:27" ht="39" x14ac:dyDescent="0.2">
      <c r="A112" s="105" t="s">
        <v>1034</v>
      </c>
      <c r="B112" s="102" t="s">
        <v>1123</v>
      </c>
      <c r="C112" s="102" t="s">
        <v>1122</v>
      </c>
      <c r="D112" s="102" t="s">
        <v>714</v>
      </c>
      <c r="E112" s="102">
        <v>500</v>
      </c>
      <c r="F112" s="102" t="s">
        <v>1069</v>
      </c>
      <c r="G112" s="102" t="s">
        <v>92</v>
      </c>
      <c r="H112" s="102" t="s">
        <v>1060</v>
      </c>
      <c r="I112" s="102" t="s">
        <v>1059</v>
      </c>
      <c r="J112" s="102"/>
      <c r="K112" s="102"/>
      <c r="L112" s="102"/>
      <c r="M112" s="102"/>
      <c r="N112" s="102"/>
      <c r="O112" s="102"/>
      <c r="P112" s="102" t="s">
        <v>1058</v>
      </c>
      <c r="Q112" s="102">
        <v>3.6600000000000001E-2</v>
      </c>
      <c r="R112" s="102"/>
      <c r="S112" s="102">
        <v>2017</v>
      </c>
      <c r="T112" s="102">
        <v>2319</v>
      </c>
      <c r="U112" s="102">
        <v>533.70000000000005</v>
      </c>
      <c r="V112" s="102"/>
      <c r="W112" s="102">
        <v>20</v>
      </c>
      <c r="X112" s="102">
        <v>30</v>
      </c>
      <c r="Y112" s="102"/>
      <c r="Z112" s="102"/>
      <c r="AA112" s="102" t="s">
        <v>1057</v>
      </c>
    </row>
    <row r="113" spans="1:27" ht="26" x14ac:dyDescent="0.2">
      <c r="A113" s="105" t="s">
        <v>1034</v>
      </c>
      <c r="B113" s="102" t="s">
        <v>1121</v>
      </c>
      <c r="C113" s="102" t="s">
        <v>1120</v>
      </c>
      <c r="D113" s="102" t="s">
        <v>711</v>
      </c>
      <c r="E113" s="102">
        <v>450</v>
      </c>
      <c r="F113" s="102" t="s">
        <v>1069</v>
      </c>
      <c r="G113" s="102" t="s">
        <v>350</v>
      </c>
      <c r="H113" s="102" t="s">
        <v>1060</v>
      </c>
      <c r="I113" s="102" t="s">
        <v>1065</v>
      </c>
      <c r="J113" s="102"/>
      <c r="K113" s="102"/>
      <c r="L113" s="102"/>
      <c r="M113" s="102"/>
      <c r="N113" s="102"/>
      <c r="O113" s="102"/>
      <c r="P113" s="102" t="s">
        <v>1058</v>
      </c>
      <c r="Q113" s="102">
        <v>7.2000000000000005E-4</v>
      </c>
      <c r="R113" s="102"/>
      <c r="S113" s="102">
        <v>1338</v>
      </c>
      <c r="T113" s="102">
        <v>1539</v>
      </c>
      <c r="U113" s="102">
        <v>105.3</v>
      </c>
      <c r="V113" s="102"/>
      <c r="W113" s="102">
        <v>20</v>
      </c>
      <c r="X113" s="102">
        <v>30</v>
      </c>
      <c r="Y113" s="102"/>
      <c r="Z113" s="102"/>
      <c r="AA113" s="102" t="s">
        <v>1057</v>
      </c>
    </row>
    <row r="114" spans="1:27" ht="39" x14ac:dyDescent="0.2">
      <c r="A114" s="105" t="s">
        <v>1034</v>
      </c>
      <c r="B114" s="102" t="s">
        <v>1119</v>
      </c>
      <c r="C114" s="102" t="s">
        <v>1118</v>
      </c>
      <c r="D114" s="102" t="s">
        <v>714</v>
      </c>
      <c r="E114" s="102">
        <v>300</v>
      </c>
      <c r="F114" s="102" t="s">
        <v>1069</v>
      </c>
      <c r="G114" s="102" t="s">
        <v>92</v>
      </c>
      <c r="H114" s="102" t="s">
        <v>1060</v>
      </c>
      <c r="I114" s="102" t="s">
        <v>1059</v>
      </c>
      <c r="J114" s="102"/>
      <c r="K114" s="102"/>
      <c r="L114" s="102"/>
      <c r="M114" s="102"/>
      <c r="N114" s="102"/>
      <c r="O114" s="102"/>
      <c r="P114" s="102" t="s">
        <v>1058</v>
      </c>
      <c r="Q114" s="102">
        <v>3.61E-2</v>
      </c>
      <c r="R114" s="102"/>
      <c r="S114" s="102">
        <v>542</v>
      </c>
      <c r="T114" s="102">
        <v>624</v>
      </c>
      <c r="U114" s="102">
        <v>514</v>
      </c>
      <c r="V114" s="102"/>
      <c r="W114" s="102">
        <v>20</v>
      </c>
      <c r="X114" s="102">
        <v>30</v>
      </c>
      <c r="Y114" s="102"/>
      <c r="Z114" s="102"/>
      <c r="AA114" s="102" t="s">
        <v>1057</v>
      </c>
    </row>
    <row r="115" spans="1:27" ht="26" x14ac:dyDescent="0.2">
      <c r="A115" s="105" t="s">
        <v>1034</v>
      </c>
      <c r="B115" s="102" t="s">
        <v>1117</v>
      </c>
      <c r="C115" s="102" t="s">
        <v>1116</v>
      </c>
      <c r="D115" s="102" t="s">
        <v>714</v>
      </c>
      <c r="E115" s="102">
        <v>600</v>
      </c>
      <c r="F115" s="102" t="s">
        <v>1069</v>
      </c>
      <c r="G115" s="102" t="s">
        <v>92</v>
      </c>
      <c r="H115" s="102" t="s">
        <v>1060</v>
      </c>
      <c r="I115" s="102" t="s">
        <v>1059</v>
      </c>
      <c r="J115" s="102"/>
      <c r="K115" s="102"/>
      <c r="L115" s="102"/>
      <c r="M115" s="102"/>
      <c r="N115" s="102"/>
      <c r="O115" s="102"/>
      <c r="P115" s="102" t="s">
        <v>1058</v>
      </c>
      <c r="Q115" s="102">
        <v>2.7199999999999998E-2</v>
      </c>
      <c r="R115" s="102"/>
      <c r="S115" s="102">
        <v>2574</v>
      </c>
      <c r="T115" s="102">
        <v>2960</v>
      </c>
      <c r="U115" s="102">
        <v>446</v>
      </c>
      <c r="V115" s="102"/>
      <c r="W115" s="102">
        <v>20</v>
      </c>
      <c r="X115" s="102">
        <v>30</v>
      </c>
      <c r="Y115" s="102"/>
      <c r="Z115" s="102"/>
      <c r="AA115" s="102" t="s">
        <v>1057</v>
      </c>
    </row>
    <row r="116" spans="1:27" ht="39" x14ac:dyDescent="0.2">
      <c r="A116" s="105" t="s">
        <v>1034</v>
      </c>
      <c r="B116" s="102" t="s">
        <v>1115</v>
      </c>
      <c r="C116" s="102" t="s">
        <v>1114</v>
      </c>
      <c r="D116" s="102" t="s">
        <v>711</v>
      </c>
      <c r="E116" s="102">
        <v>150</v>
      </c>
      <c r="F116" s="102" t="s">
        <v>1069</v>
      </c>
      <c r="G116" s="102" t="s">
        <v>350</v>
      </c>
      <c r="H116" s="102" t="s">
        <v>1060</v>
      </c>
      <c r="I116" s="102" t="s">
        <v>1065</v>
      </c>
      <c r="J116" s="102"/>
      <c r="K116" s="102"/>
      <c r="L116" s="102"/>
      <c r="M116" s="102"/>
      <c r="N116" s="102"/>
      <c r="O116" s="102"/>
      <c r="P116" s="102" t="s">
        <v>1058</v>
      </c>
      <c r="Q116" s="102">
        <v>7.2000000000000005E-4</v>
      </c>
      <c r="R116" s="102"/>
      <c r="S116" s="102">
        <v>150</v>
      </c>
      <c r="T116" s="102">
        <v>172.5</v>
      </c>
      <c r="U116" s="102">
        <v>242.9</v>
      </c>
      <c r="V116" s="102"/>
      <c r="W116" s="102">
        <v>20</v>
      </c>
      <c r="X116" s="102">
        <v>30</v>
      </c>
      <c r="Y116" s="102"/>
      <c r="Z116" s="102"/>
      <c r="AA116" s="102" t="s">
        <v>1057</v>
      </c>
    </row>
    <row r="117" spans="1:27" ht="39" x14ac:dyDescent="0.2">
      <c r="A117" s="105" t="s">
        <v>1034</v>
      </c>
      <c r="B117" s="102" t="s">
        <v>1113</v>
      </c>
      <c r="C117" s="102" t="s">
        <v>1112</v>
      </c>
      <c r="D117" s="102" t="s">
        <v>711</v>
      </c>
      <c r="E117" s="102">
        <v>150</v>
      </c>
      <c r="F117" s="102" t="s">
        <v>1069</v>
      </c>
      <c r="G117" s="102" t="s">
        <v>350</v>
      </c>
      <c r="H117" s="102" t="s">
        <v>1060</v>
      </c>
      <c r="I117" s="102" t="s">
        <v>1065</v>
      </c>
      <c r="J117" s="102"/>
      <c r="K117" s="102"/>
      <c r="L117" s="102"/>
      <c r="M117" s="102"/>
      <c r="N117" s="102"/>
      <c r="O117" s="102"/>
      <c r="P117" s="102" t="s">
        <v>1058</v>
      </c>
      <c r="Q117" s="102">
        <v>7.2000000000000005E-4</v>
      </c>
      <c r="R117" s="102"/>
      <c r="S117" s="102">
        <v>150</v>
      </c>
      <c r="T117" s="102">
        <v>173</v>
      </c>
      <c r="U117" s="102">
        <v>242.9</v>
      </c>
      <c r="V117" s="102"/>
      <c r="W117" s="102">
        <v>20</v>
      </c>
      <c r="X117" s="102">
        <v>30</v>
      </c>
      <c r="Y117" s="102"/>
      <c r="Z117" s="102"/>
      <c r="AA117" s="102" t="s">
        <v>1057</v>
      </c>
    </row>
    <row r="118" spans="1:27" ht="39" x14ac:dyDescent="0.2">
      <c r="A118" s="105" t="s">
        <v>1034</v>
      </c>
      <c r="B118" s="102" t="s">
        <v>1111</v>
      </c>
      <c r="C118" s="102" t="s">
        <v>1110</v>
      </c>
      <c r="D118" s="102" t="s">
        <v>711</v>
      </c>
      <c r="E118" s="102">
        <v>150</v>
      </c>
      <c r="F118" s="102" t="s">
        <v>1069</v>
      </c>
      <c r="G118" s="102" t="s">
        <v>350</v>
      </c>
      <c r="H118" s="102" t="s">
        <v>1060</v>
      </c>
      <c r="I118" s="102" t="s">
        <v>1065</v>
      </c>
      <c r="J118" s="102"/>
      <c r="K118" s="102"/>
      <c r="L118" s="102"/>
      <c r="M118" s="102"/>
      <c r="N118" s="102"/>
      <c r="O118" s="102"/>
      <c r="P118" s="102" t="s">
        <v>1058</v>
      </c>
      <c r="Q118" s="102">
        <v>7.2000000000000005E-4</v>
      </c>
      <c r="R118" s="102"/>
      <c r="S118" s="102">
        <v>150</v>
      </c>
      <c r="T118" s="102">
        <v>172.5</v>
      </c>
      <c r="U118" s="102">
        <v>242.9</v>
      </c>
      <c r="V118" s="102"/>
      <c r="W118" s="102">
        <v>20</v>
      </c>
      <c r="X118" s="102">
        <v>30</v>
      </c>
      <c r="Y118" s="102"/>
      <c r="Z118" s="102"/>
      <c r="AA118" s="102" t="s">
        <v>1057</v>
      </c>
    </row>
    <row r="119" spans="1:27" ht="26" x14ac:dyDescent="0.2">
      <c r="A119" s="105" t="s">
        <v>1034</v>
      </c>
      <c r="B119" s="102" t="s">
        <v>1109</v>
      </c>
      <c r="C119" s="102" t="s">
        <v>1108</v>
      </c>
      <c r="D119" s="102" t="s">
        <v>711</v>
      </c>
      <c r="E119" s="102">
        <v>150</v>
      </c>
      <c r="F119" s="102" t="s">
        <v>1069</v>
      </c>
      <c r="G119" s="102" t="s">
        <v>350</v>
      </c>
      <c r="H119" s="102" t="s">
        <v>1060</v>
      </c>
      <c r="I119" s="102" t="s">
        <v>1065</v>
      </c>
      <c r="J119" s="102"/>
      <c r="K119" s="102"/>
      <c r="L119" s="102"/>
      <c r="M119" s="102"/>
      <c r="N119" s="102"/>
      <c r="O119" s="102"/>
      <c r="P119" s="102" t="s">
        <v>1058</v>
      </c>
      <c r="Q119" s="102">
        <v>7.2000000000000005E-4</v>
      </c>
      <c r="R119" s="102"/>
      <c r="S119" s="102">
        <v>150</v>
      </c>
      <c r="T119" s="102">
        <v>173</v>
      </c>
      <c r="U119" s="102">
        <v>242.9</v>
      </c>
      <c r="V119" s="102"/>
      <c r="W119" s="102">
        <v>20</v>
      </c>
      <c r="X119" s="102">
        <v>30</v>
      </c>
      <c r="Y119" s="102"/>
      <c r="Z119" s="102"/>
      <c r="AA119" s="102" t="s">
        <v>1057</v>
      </c>
    </row>
    <row r="120" spans="1:27" ht="39" x14ac:dyDescent="0.2">
      <c r="A120" s="105" t="s">
        <v>1034</v>
      </c>
      <c r="B120" s="102" t="s">
        <v>1107</v>
      </c>
      <c r="C120" s="102" t="s">
        <v>1106</v>
      </c>
      <c r="D120" s="102" t="s">
        <v>714</v>
      </c>
      <c r="E120" s="102">
        <v>350</v>
      </c>
      <c r="F120" s="102" t="s">
        <v>1069</v>
      </c>
      <c r="G120" s="102" t="s">
        <v>92</v>
      </c>
      <c r="H120" s="102" t="s">
        <v>1060</v>
      </c>
      <c r="I120" s="102" t="s">
        <v>1059</v>
      </c>
      <c r="J120" s="102"/>
      <c r="K120" s="102"/>
      <c r="L120" s="102"/>
      <c r="M120" s="102"/>
      <c r="N120" s="102"/>
      <c r="O120" s="102"/>
      <c r="P120" s="102" t="s">
        <v>1058</v>
      </c>
      <c r="Q120" s="102">
        <v>3.3300000000000003E-2</v>
      </c>
      <c r="R120" s="102"/>
      <c r="S120" s="102">
        <v>1105</v>
      </c>
      <c r="T120" s="102">
        <v>1270</v>
      </c>
      <c r="U120" s="102">
        <v>404</v>
      </c>
      <c r="V120" s="102"/>
      <c r="W120" s="102">
        <v>20</v>
      </c>
      <c r="X120" s="102">
        <v>30</v>
      </c>
      <c r="Y120" s="102"/>
      <c r="Z120" s="102"/>
      <c r="AA120" s="102" t="s">
        <v>1057</v>
      </c>
    </row>
    <row r="121" spans="1:27" ht="39" x14ac:dyDescent="0.2">
      <c r="A121" s="105" t="s">
        <v>1034</v>
      </c>
      <c r="B121" s="102" t="s">
        <v>1105</v>
      </c>
      <c r="C121" s="102" t="s">
        <v>1104</v>
      </c>
      <c r="D121" s="102" t="s">
        <v>714</v>
      </c>
      <c r="E121" s="102">
        <v>200</v>
      </c>
      <c r="F121" s="102" t="s">
        <v>1069</v>
      </c>
      <c r="G121" s="102" t="s">
        <v>92</v>
      </c>
      <c r="H121" s="102" t="s">
        <v>1060</v>
      </c>
      <c r="I121" s="102" t="s">
        <v>1059</v>
      </c>
      <c r="J121" s="102"/>
      <c r="K121" s="102"/>
      <c r="L121" s="102"/>
      <c r="M121" s="102"/>
      <c r="N121" s="102"/>
      <c r="O121" s="102"/>
      <c r="P121" s="102" t="s">
        <v>1058</v>
      </c>
      <c r="Q121" s="102">
        <v>3.3399999999999999E-2</v>
      </c>
      <c r="R121" s="102"/>
      <c r="S121" s="102">
        <v>279.10000000000002</v>
      </c>
      <c r="T121" s="102">
        <v>321</v>
      </c>
      <c r="U121" s="102">
        <v>271</v>
      </c>
      <c r="V121" s="102"/>
      <c r="W121" s="102">
        <v>20</v>
      </c>
      <c r="X121" s="102">
        <v>30</v>
      </c>
      <c r="Y121" s="102"/>
      <c r="Z121" s="102"/>
      <c r="AA121" s="102" t="s">
        <v>1057</v>
      </c>
    </row>
    <row r="122" spans="1:27" ht="39" x14ac:dyDescent="0.2">
      <c r="A122" s="105" t="s">
        <v>1034</v>
      </c>
      <c r="B122" s="102" t="s">
        <v>1103</v>
      </c>
      <c r="C122" s="102" t="s">
        <v>1102</v>
      </c>
      <c r="D122" s="102" t="s">
        <v>711</v>
      </c>
      <c r="E122" s="102">
        <v>200</v>
      </c>
      <c r="F122" s="102" t="s">
        <v>1069</v>
      </c>
      <c r="G122" s="102" t="s">
        <v>350</v>
      </c>
      <c r="H122" s="102" t="s">
        <v>1060</v>
      </c>
      <c r="I122" s="102" t="s">
        <v>1065</v>
      </c>
      <c r="J122" s="102"/>
      <c r="K122" s="102"/>
      <c r="L122" s="102"/>
      <c r="M122" s="102"/>
      <c r="N122" s="102"/>
      <c r="O122" s="102"/>
      <c r="P122" s="102" t="s">
        <v>1058</v>
      </c>
      <c r="Q122" s="102">
        <v>7.2000000000000005E-4</v>
      </c>
      <c r="R122" s="102"/>
      <c r="S122" s="102">
        <v>215.4</v>
      </c>
      <c r="T122" s="102">
        <v>247.7</v>
      </c>
      <c r="U122" s="102">
        <v>239.2</v>
      </c>
      <c r="V122" s="102"/>
      <c r="W122" s="102">
        <v>20</v>
      </c>
      <c r="X122" s="102">
        <v>30</v>
      </c>
      <c r="Y122" s="102"/>
      <c r="Z122" s="102"/>
      <c r="AA122" s="102" t="s">
        <v>1057</v>
      </c>
    </row>
    <row r="123" spans="1:27" ht="39" x14ac:dyDescent="0.2">
      <c r="A123" s="105" t="s">
        <v>1034</v>
      </c>
      <c r="B123" s="102" t="s">
        <v>1101</v>
      </c>
      <c r="C123" s="102" t="s">
        <v>1100</v>
      </c>
      <c r="D123" s="102" t="s">
        <v>711</v>
      </c>
      <c r="E123" s="102">
        <v>200</v>
      </c>
      <c r="F123" s="102" t="s">
        <v>1069</v>
      </c>
      <c r="G123" s="102" t="s">
        <v>350</v>
      </c>
      <c r="H123" s="102" t="s">
        <v>1060</v>
      </c>
      <c r="I123" s="102" t="s">
        <v>1065</v>
      </c>
      <c r="J123" s="102"/>
      <c r="K123" s="102"/>
      <c r="L123" s="102"/>
      <c r="M123" s="102"/>
      <c r="N123" s="102"/>
      <c r="O123" s="102"/>
      <c r="P123" s="102" t="s">
        <v>1058</v>
      </c>
      <c r="Q123" s="102">
        <v>7.2000000000000005E-4</v>
      </c>
      <c r="R123" s="102"/>
      <c r="S123" s="102">
        <v>215.4</v>
      </c>
      <c r="T123" s="102">
        <v>247.7</v>
      </c>
      <c r="U123" s="102">
        <v>239.2</v>
      </c>
      <c r="V123" s="102"/>
      <c r="W123" s="102">
        <v>20</v>
      </c>
      <c r="X123" s="102">
        <v>30</v>
      </c>
      <c r="Y123" s="102"/>
      <c r="Z123" s="102"/>
      <c r="AA123" s="102" t="s">
        <v>1057</v>
      </c>
    </row>
    <row r="124" spans="1:27" ht="39" x14ac:dyDescent="0.2">
      <c r="A124" s="105" t="s">
        <v>1034</v>
      </c>
      <c r="B124" s="102" t="s">
        <v>1099</v>
      </c>
      <c r="C124" s="102" t="s">
        <v>1098</v>
      </c>
      <c r="D124" s="102" t="s">
        <v>714</v>
      </c>
      <c r="E124" s="102">
        <v>500</v>
      </c>
      <c r="F124" s="102" t="s">
        <v>1069</v>
      </c>
      <c r="G124" s="102" t="s">
        <v>92</v>
      </c>
      <c r="H124" s="102" t="s">
        <v>1060</v>
      </c>
      <c r="I124" s="102" t="s">
        <v>1059</v>
      </c>
      <c r="J124" s="102"/>
      <c r="K124" s="102"/>
      <c r="L124" s="102"/>
      <c r="M124" s="102"/>
      <c r="N124" s="102"/>
      <c r="O124" s="102"/>
      <c r="P124" s="102" t="s">
        <v>1058</v>
      </c>
      <c r="Q124" s="102">
        <v>2.7900000000000001E-2</v>
      </c>
      <c r="R124" s="102"/>
      <c r="S124" s="102">
        <v>2102</v>
      </c>
      <c r="T124" s="102">
        <v>2417</v>
      </c>
      <c r="U124" s="102">
        <v>457.3</v>
      </c>
      <c r="V124" s="102"/>
      <c r="W124" s="102">
        <v>35</v>
      </c>
      <c r="X124" s="102">
        <v>50</v>
      </c>
      <c r="Y124" s="102"/>
      <c r="Z124" s="102"/>
      <c r="AA124" s="102" t="s">
        <v>1057</v>
      </c>
    </row>
    <row r="125" spans="1:27" ht="39" x14ac:dyDescent="0.2">
      <c r="A125" s="105" t="s">
        <v>1034</v>
      </c>
      <c r="B125" s="102" t="s">
        <v>1097</v>
      </c>
      <c r="C125" s="102" t="s">
        <v>1096</v>
      </c>
      <c r="D125" s="102" t="s">
        <v>711</v>
      </c>
      <c r="E125" s="102">
        <v>250</v>
      </c>
      <c r="F125" s="102" t="s">
        <v>1069</v>
      </c>
      <c r="G125" s="102" t="s">
        <v>350</v>
      </c>
      <c r="H125" s="102" t="s">
        <v>1060</v>
      </c>
      <c r="I125" s="102" t="s">
        <v>1065</v>
      </c>
      <c r="J125" s="102"/>
      <c r="K125" s="102"/>
      <c r="L125" s="102"/>
      <c r="M125" s="102"/>
      <c r="N125" s="102"/>
      <c r="O125" s="102"/>
      <c r="P125" s="102" t="s">
        <v>1058</v>
      </c>
      <c r="Q125" s="102">
        <v>7.2000000000000005E-4</v>
      </c>
      <c r="R125" s="102"/>
      <c r="S125" s="102">
        <v>344</v>
      </c>
      <c r="T125" s="102">
        <v>396</v>
      </c>
      <c r="U125" s="102">
        <v>240.6</v>
      </c>
      <c r="V125" s="102"/>
      <c r="W125" s="102">
        <v>20</v>
      </c>
      <c r="X125" s="102">
        <v>30</v>
      </c>
      <c r="Y125" s="102"/>
      <c r="Z125" s="102"/>
      <c r="AA125" s="102" t="s">
        <v>1057</v>
      </c>
    </row>
    <row r="126" spans="1:27" ht="26" x14ac:dyDescent="0.2">
      <c r="A126" s="105" t="s">
        <v>1034</v>
      </c>
      <c r="B126" s="102" t="s">
        <v>1095</v>
      </c>
      <c r="C126" s="102" t="s">
        <v>1094</v>
      </c>
      <c r="D126" s="102" t="s">
        <v>711</v>
      </c>
      <c r="E126" s="102">
        <v>150</v>
      </c>
      <c r="F126" s="102" t="s">
        <v>1069</v>
      </c>
      <c r="G126" s="102" t="s">
        <v>350</v>
      </c>
      <c r="H126" s="102" t="s">
        <v>1060</v>
      </c>
      <c r="I126" s="102" t="s">
        <v>1065</v>
      </c>
      <c r="J126" s="102"/>
      <c r="K126" s="102"/>
      <c r="L126" s="102"/>
      <c r="M126" s="102"/>
      <c r="N126" s="102"/>
      <c r="O126" s="102"/>
      <c r="P126" s="102" t="s">
        <v>1058</v>
      </c>
      <c r="Q126" s="102">
        <v>7.2000000000000005E-4</v>
      </c>
      <c r="R126" s="102"/>
      <c r="S126" s="102">
        <v>72.5</v>
      </c>
      <c r="T126" s="102">
        <v>83.4</v>
      </c>
      <c r="U126" s="102">
        <v>137</v>
      </c>
      <c r="V126" s="102"/>
      <c r="W126" s="102">
        <v>20</v>
      </c>
      <c r="X126" s="102">
        <v>30</v>
      </c>
      <c r="Y126" s="102"/>
      <c r="Z126" s="102"/>
      <c r="AA126" s="102" t="s">
        <v>1057</v>
      </c>
    </row>
    <row r="127" spans="1:27" ht="39" x14ac:dyDescent="0.2">
      <c r="A127" s="105" t="s">
        <v>1034</v>
      </c>
      <c r="B127" s="102" t="s">
        <v>1093</v>
      </c>
      <c r="C127" s="102" t="s">
        <v>1092</v>
      </c>
      <c r="D127" s="102" t="s">
        <v>714</v>
      </c>
      <c r="E127" s="102">
        <v>350</v>
      </c>
      <c r="F127" s="102" t="s">
        <v>1069</v>
      </c>
      <c r="G127" s="102" t="s">
        <v>350</v>
      </c>
      <c r="H127" s="102" t="s">
        <v>1060</v>
      </c>
      <c r="I127" s="102" t="s">
        <v>1065</v>
      </c>
      <c r="J127" s="102"/>
      <c r="K127" s="102"/>
      <c r="L127" s="102"/>
      <c r="M127" s="102"/>
      <c r="N127" s="102"/>
      <c r="O127" s="102"/>
      <c r="P127" s="102" t="s">
        <v>1058</v>
      </c>
      <c r="Q127" s="102">
        <v>4.6800000000000001E-2</v>
      </c>
      <c r="R127" s="102"/>
      <c r="S127" s="102">
        <v>826</v>
      </c>
      <c r="T127" s="102">
        <v>950</v>
      </c>
      <c r="U127" s="102">
        <v>550</v>
      </c>
      <c r="V127" s="102"/>
      <c r="W127" s="102">
        <v>20</v>
      </c>
      <c r="X127" s="102">
        <v>30</v>
      </c>
      <c r="Y127" s="102"/>
      <c r="Z127" s="102"/>
      <c r="AA127" s="102" t="s">
        <v>1057</v>
      </c>
    </row>
    <row r="128" spans="1:27" ht="26" x14ac:dyDescent="0.2">
      <c r="A128" s="105" t="s">
        <v>1034</v>
      </c>
      <c r="B128" s="102" t="s">
        <v>1091</v>
      </c>
      <c r="C128" s="102" t="s">
        <v>1090</v>
      </c>
      <c r="D128" s="102" t="s">
        <v>711</v>
      </c>
      <c r="E128" s="102">
        <v>150</v>
      </c>
      <c r="F128" s="102" t="s">
        <v>1069</v>
      </c>
      <c r="G128" s="102" t="s">
        <v>350</v>
      </c>
      <c r="H128" s="102" t="s">
        <v>1060</v>
      </c>
      <c r="I128" s="102" t="s">
        <v>1065</v>
      </c>
      <c r="J128" s="102"/>
      <c r="K128" s="102"/>
      <c r="L128" s="102"/>
      <c r="M128" s="102"/>
      <c r="N128" s="102"/>
      <c r="O128" s="102"/>
      <c r="P128" s="102" t="s">
        <v>1058</v>
      </c>
      <c r="Q128" s="102"/>
      <c r="R128" s="102"/>
      <c r="S128" s="102">
        <v>76.400000000000006</v>
      </c>
      <c r="T128" s="102">
        <v>100</v>
      </c>
      <c r="U128" s="102">
        <v>138</v>
      </c>
      <c r="V128" s="102"/>
      <c r="W128" s="102">
        <v>20</v>
      </c>
      <c r="X128" s="102">
        <v>30</v>
      </c>
      <c r="Y128" s="102"/>
      <c r="Z128" s="102"/>
      <c r="AA128" s="102" t="s">
        <v>1057</v>
      </c>
    </row>
    <row r="129" spans="1:27" ht="26" x14ac:dyDescent="0.2">
      <c r="A129" s="105" t="s">
        <v>1034</v>
      </c>
      <c r="B129" s="102" t="s">
        <v>1089</v>
      </c>
      <c r="C129" s="102" t="s">
        <v>1088</v>
      </c>
      <c r="D129" s="102" t="s">
        <v>714</v>
      </c>
      <c r="E129" s="102">
        <v>350</v>
      </c>
      <c r="F129" s="102" t="s">
        <v>1069</v>
      </c>
      <c r="G129" s="102" t="s">
        <v>92</v>
      </c>
      <c r="H129" s="102" t="s">
        <v>1060</v>
      </c>
      <c r="I129" s="102" t="s">
        <v>1059</v>
      </c>
      <c r="J129" s="102"/>
      <c r="K129" s="102"/>
      <c r="L129" s="102"/>
      <c r="M129" s="102"/>
      <c r="N129" s="102"/>
      <c r="O129" s="102"/>
      <c r="P129" s="102" t="s">
        <v>1058</v>
      </c>
      <c r="Q129" s="102"/>
      <c r="R129" s="102"/>
      <c r="S129" s="102">
        <v>738.3</v>
      </c>
      <c r="T129" s="102">
        <v>922.88</v>
      </c>
      <c r="U129" s="102"/>
      <c r="V129" s="102"/>
      <c r="W129" s="102">
        <v>35</v>
      </c>
      <c r="X129" s="102">
        <v>50</v>
      </c>
      <c r="Y129" s="102"/>
      <c r="Z129" s="102"/>
      <c r="AA129" s="102" t="s">
        <v>1057</v>
      </c>
    </row>
    <row r="130" spans="1:27" ht="39" x14ac:dyDescent="0.2">
      <c r="A130" s="105" t="s">
        <v>1034</v>
      </c>
      <c r="B130" s="102" t="s">
        <v>1087</v>
      </c>
      <c r="C130" s="102" t="s">
        <v>1086</v>
      </c>
      <c r="D130" s="102" t="s">
        <v>714</v>
      </c>
      <c r="E130" s="102">
        <v>350</v>
      </c>
      <c r="F130" s="102" t="s">
        <v>1069</v>
      </c>
      <c r="G130" s="102" t="s">
        <v>350</v>
      </c>
      <c r="H130" s="102" t="s">
        <v>1060</v>
      </c>
      <c r="I130" s="102" t="s">
        <v>1065</v>
      </c>
      <c r="J130" s="102"/>
      <c r="K130" s="102"/>
      <c r="L130" s="102"/>
      <c r="M130" s="102"/>
      <c r="N130" s="102"/>
      <c r="O130" s="102"/>
      <c r="P130" s="102" t="s">
        <v>1058</v>
      </c>
      <c r="Q130" s="102">
        <v>3.6299999999999999E-2</v>
      </c>
      <c r="R130" s="102"/>
      <c r="S130" s="102">
        <v>792</v>
      </c>
      <c r="T130" s="102">
        <v>910</v>
      </c>
      <c r="U130" s="102">
        <v>415</v>
      </c>
      <c r="V130" s="102"/>
      <c r="W130" s="102">
        <v>35</v>
      </c>
      <c r="X130" s="102">
        <v>50</v>
      </c>
      <c r="Y130" s="102"/>
      <c r="Z130" s="102"/>
      <c r="AA130" s="102" t="s">
        <v>1057</v>
      </c>
    </row>
    <row r="131" spans="1:27" ht="26" x14ac:dyDescent="0.2">
      <c r="A131" s="105" t="s">
        <v>1034</v>
      </c>
      <c r="B131" s="102" t="s">
        <v>1085</v>
      </c>
      <c r="C131" s="102" t="s">
        <v>1084</v>
      </c>
      <c r="D131" s="102" t="s">
        <v>711</v>
      </c>
      <c r="E131" s="102">
        <v>600</v>
      </c>
      <c r="F131" s="102" t="s">
        <v>1069</v>
      </c>
      <c r="G131" s="102" t="s">
        <v>350</v>
      </c>
      <c r="H131" s="102" t="s">
        <v>1060</v>
      </c>
      <c r="I131" s="102" t="s">
        <v>1065</v>
      </c>
      <c r="J131" s="102"/>
      <c r="K131" s="102"/>
      <c r="L131" s="102"/>
      <c r="M131" s="102"/>
      <c r="N131" s="102"/>
      <c r="O131" s="102"/>
      <c r="P131" s="102" t="s">
        <v>1058</v>
      </c>
      <c r="Q131" s="102">
        <v>7.2000000000000005E-4</v>
      </c>
      <c r="R131" s="102"/>
      <c r="S131" s="102">
        <v>2000</v>
      </c>
      <c r="T131" s="102">
        <v>2465</v>
      </c>
      <c r="U131" s="102">
        <v>160</v>
      </c>
      <c r="V131" s="102"/>
      <c r="W131" s="102">
        <v>20</v>
      </c>
      <c r="X131" s="102">
        <v>30</v>
      </c>
      <c r="Y131" s="102"/>
      <c r="Z131" s="102"/>
      <c r="AA131" s="102" t="s">
        <v>1057</v>
      </c>
    </row>
    <row r="132" spans="1:27" ht="26" x14ac:dyDescent="0.2">
      <c r="A132" s="105" t="s">
        <v>1034</v>
      </c>
      <c r="B132" s="102" t="s">
        <v>1083</v>
      </c>
      <c r="C132" s="102" t="s">
        <v>1082</v>
      </c>
      <c r="D132" s="102" t="s">
        <v>714</v>
      </c>
      <c r="E132" s="102">
        <v>750</v>
      </c>
      <c r="F132" s="102" t="s">
        <v>1069</v>
      </c>
      <c r="G132" s="102" t="s">
        <v>92</v>
      </c>
      <c r="H132" s="102" t="s">
        <v>1060</v>
      </c>
      <c r="I132" s="102" t="s">
        <v>1059</v>
      </c>
      <c r="J132" s="102"/>
      <c r="K132" s="102"/>
      <c r="L132" s="102"/>
      <c r="M132" s="102"/>
      <c r="N132" s="102"/>
      <c r="O132" s="102"/>
      <c r="P132" s="102" t="s">
        <v>1058</v>
      </c>
      <c r="Q132" s="102">
        <v>0.06</v>
      </c>
      <c r="R132" s="102"/>
      <c r="S132" s="102">
        <v>1677</v>
      </c>
      <c r="T132" s="102">
        <v>2013</v>
      </c>
      <c r="U132" s="102">
        <v>1200</v>
      </c>
      <c r="V132" s="102"/>
      <c r="W132" s="102">
        <v>35</v>
      </c>
      <c r="X132" s="102">
        <v>50</v>
      </c>
      <c r="Y132" s="102"/>
      <c r="Z132" s="102"/>
      <c r="AA132" s="102" t="s">
        <v>1057</v>
      </c>
    </row>
    <row r="133" spans="1:27" ht="26" x14ac:dyDescent="0.2">
      <c r="A133" s="105" t="s">
        <v>1034</v>
      </c>
      <c r="B133" s="102" t="s">
        <v>1081</v>
      </c>
      <c r="C133" s="102" t="s">
        <v>1080</v>
      </c>
      <c r="D133" s="102" t="s">
        <v>711</v>
      </c>
      <c r="E133" s="102">
        <v>750</v>
      </c>
      <c r="F133" s="102" t="s">
        <v>1069</v>
      </c>
      <c r="G133" s="102" t="s">
        <v>350</v>
      </c>
      <c r="H133" s="102" t="s">
        <v>1060</v>
      </c>
      <c r="I133" s="102" t="s">
        <v>1065</v>
      </c>
      <c r="J133" s="102"/>
      <c r="K133" s="102"/>
      <c r="L133" s="102"/>
      <c r="M133" s="102"/>
      <c r="N133" s="102"/>
      <c r="O133" s="102"/>
      <c r="P133" s="102" t="s">
        <v>1058</v>
      </c>
      <c r="Q133" s="102">
        <v>7.2000000000000005E-4</v>
      </c>
      <c r="R133" s="102"/>
      <c r="S133" s="102">
        <v>1185</v>
      </c>
      <c r="T133" s="102">
        <v>1362</v>
      </c>
      <c r="U133" s="102">
        <v>324</v>
      </c>
      <c r="V133" s="102"/>
      <c r="W133" s="102">
        <v>20</v>
      </c>
      <c r="X133" s="102">
        <v>30</v>
      </c>
      <c r="Y133" s="102"/>
      <c r="Z133" s="102"/>
      <c r="AA133" s="102" t="s">
        <v>1057</v>
      </c>
    </row>
    <row r="134" spans="1:27" ht="26" x14ac:dyDescent="0.2">
      <c r="A134" s="105" t="s">
        <v>1034</v>
      </c>
      <c r="B134" s="102" t="s">
        <v>1079</v>
      </c>
      <c r="C134" s="102" t="s">
        <v>1078</v>
      </c>
      <c r="D134" s="102" t="s">
        <v>711</v>
      </c>
      <c r="E134" s="102">
        <v>400</v>
      </c>
      <c r="F134" s="102" t="s">
        <v>1069</v>
      </c>
      <c r="G134" s="102" t="s">
        <v>350</v>
      </c>
      <c r="H134" s="102" t="s">
        <v>1060</v>
      </c>
      <c r="I134" s="102" t="s">
        <v>1065</v>
      </c>
      <c r="J134" s="102"/>
      <c r="K134" s="102"/>
      <c r="L134" s="102"/>
      <c r="M134" s="102"/>
      <c r="N134" s="102"/>
      <c r="O134" s="102"/>
      <c r="P134" s="102" t="s">
        <v>1058</v>
      </c>
      <c r="Q134" s="102">
        <v>7.2000000000000005E-4</v>
      </c>
      <c r="R134" s="102"/>
      <c r="S134" s="102">
        <v>700</v>
      </c>
      <c r="T134" s="102">
        <v>805</v>
      </c>
      <c r="U134" s="102">
        <v>146.5</v>
      </c>
      <c r="V134" s="102"/>
      <c r="W134" s="102">
        <v>20</v>
      </c>
      <c r="X134" s="102">
        <v>30</v>
      </c>
      <c r="Y134" s="102"/>
      <c r="Z134" s="102"/>
      <c r="AA134" s="102" t="s">
        <v>1057</v>
      </c>
    </row>
    <row r="135" spans="1:27" ht="26" x14ac:dyDescent="0.2">
      <c r="A135" s="105" t="s">
        <v>1034</v>
      </c>
      <c r="B135" s="102" t="s">
        <v>1077</v>
      </c>
      <c r="C135" s="102" t="s">
        <v>1076</v>
      </c>
      <c r="D135" s="102" t="s">
        <v>711</v>
      </c>
      <c r="E135" s="102">
        <v>1050</v>
      </c>
      <c r="F135" s="102" t="s">
        <v>1069</v>
      </c>
      <c r="G135" s="102" t="s">
        <v>350</v>
      </c>
      <c r="H135" s="102" t="s">
        <v>1060</v>
      </c>
      <c r="I135" s="102" t="s">
        <v>1065</v>
      </c>
      <c r="J135" s="102"/>
      <c r="K135" s="102"/>
      <c r="L135" s="102"/>
      <c r="M135" s="102"/>
      <c r="N135" s="102"/>
      <c r="O135" s="102"/>
      <c r="P135" s="102" t="s">
        <v>1058</v>
      </c>
      <c r="Q135" s="102">
        <v>7.2000000000000005E-4</v>
      </c>
      <c r="R135" s="102"/>
      <c r="S135" s="102">
        <v>6304</v>
      </c>
      <c r="T135" s="102">
        <v>7250</v>
      </c>
      <c r="U135" s="102">
        <v>187.4</v>
      </c>
      <c r="V135" s="102"/>
      <c r="W135" s="102">
        <v>20</v>
      </c>
      <c r="X135" s="102">
        <v>30</v>
      </c>
      <c r="Y135" s="102"/>
      <c r="Z135" s="102"/>
      <c r="AA135" s="102" t="s">
        <v>1057</v>
      </c>
    </row>
    <row r="136" spans="1:27" ht="26" x14ac:dyDescent="0.2">
      <c r="A136" s="105" t="s">
        <v>1034</v>
      </c>
      <c r="B136" s="102" t="s">
        <v>1075</v>
      </c>
      <c r="C136" s="102" t="s">
        <v>1074</v>
      </c>
      <c r="D136" s="102" t="s">
        <v>711</v>
      </c>
      <c r="E136" s="102">
        <v>200</v>
      </c>
      <c r="F136" s="102" t="s">
        <v>1069</v>
      </c>
      <c r="G136" s="102" t="s">
        <v>350</v>
      </c>
      <c r="H136" s="102" t="s">
        <v>1060</v>
      </c>
      <c r="I136" s="102" t="s">
        <v>1065</v>
      </c>
      <c r="J136" s="102"/>
      <c r="K136" s="102"/>
      <c r="L136" s="102"/>
      <c r="M136" s="102"/>
      <c r="N136" s="102"/>
      <c r="O136" s="102"/>
      <c r="P136" s="102" t="s">
        <v>1058</v>
      </c>
      <c r="Q136" s="102">
        <v>7.2000000000000005E-4</v>
      </c>
      <c r="R136" s="102"/>
      <c r="S136" s="102">
        <v>245.2</v>
      </c>
      <c r="T136" s="102">
        <v>306.5</v>
      </c>
      <c r="U136" s="102"/>
      <c r="V136" s="102"/>
      <c r="W136" s="102">
        <v>35</v>
      </c>
      <c r="X136" s="102">
        <v>50</v>
      </c>
      <c r="Y136" s="102"/>
      <c r="Z136" s="102"/>
      <c r="AA136" s="102" t="s">
        <v>1057</v>
      </c>
    </row>
    <row r="137" spans="1:27" ht="39" x14ac:dyDescent="0.2">
      <c r="A137" s="105" t="s">
        <v>1034</v>
      </c>
      <c r="B137" s="102" t="s">
        <v>1073</v>
      </c>
      <c r="C137" s="102" t="s">
        <v>1072</v>
      </c>
      <c r="D137" s="102" t="s">
        <v>710</v>
      </c>
      <c r="E137" s="102">
        <v>150</v>
      </c>
      <c r="F137" s="102" t="s">
        <v>1066</v>
      </c>
      <c r="G137" s="102" t="s">
        <v>350</v>
      </c>
      <c r="H137" s="102" t="s">
        <v>1060</v>
      </c>
      <c r="I137" s="102" t="s">
        <v>1065</v>
      </c>
      <c r="J137" s="102"/>
      <c r="K137" s="102"/>
      <c r="L137" s="102"/>
      <c r="M137" s="102"/>
      <c r="N137" s="102"/>
      <c r="O137" s="102"/>
      <c r="P137" s="102" t="s">
        <v>1058</v>
      </c>
      <c r="Q137" s="102"/>
      <c r="R137" s="102"/>
      <c r="S137" s="102">
        <v>29.6</v>
      </c>
      <c r="T137" s="102">
        <v>37</v>
      </c>
      <c r="U137" s="102"/>
      <c r="V137" s="102"/>
      <c r="W137" s="102">
        <v>40</v>
      </c>
      <c r="X137" s="102">
        <v>50</v>
      </c>
      <c r="Y137" s="102"/>
      <c r="Z137" s="102"/>
      <c r="AA137" s="102" t="s">
        <v>1057</v>
      </c>
    </row>
    <row r="138" spans="1:27" ht="39" x14ac:dyDescent="0.2">
      <c r="A138" s="105" t="s">
        <v>1034</v>
      </c>
      <c r="B138" s="102" t="s">
        <v>1071</v>
      </c>
      <c r="C138" s="102" t="s">
        <v>1070</v>
      </c>
      <c r="D138" s="102" t="s">
        <v>711</v>
      </c>
      <c r="E138" s="102">
        <v>200</v>
      </c>
      <c r="F138" s="102" t="s">
        <v>1069</v>
      </c>
      <c r="G138" s="102" t="s">
        <v>350</v>
      </c>
      <c r="H138" s="102" t="s">
        <v>1060</v>
      </c>
      <c r="I138" s="102" t="s">
        <v>1065</v>
      </c>
      <c r="J138" s="102"/>
      <c r="K138" s="102"/>
      <c r="L138" s="102"/>
      <c r="M138" s="102"/>
      <c r="N138" s="102"/>
      <c r="O138" s="102"/>
      <c r="P138" s="102" t="s">
        <v>1058</v>
      </c>
      <c r="Q138" s="102"/>
      <c r="R138" s="102"/>
      <c r="S138" s="102">
        <v>183.9</v>
      </c>
      <c r="T138" s="102">
        <v>229.88</v>
      </c>
      <c r="U138" s="102"/>
      <c r="V138" s="102"/>
      <c r="W138" s="102">
        <v>35</v>
      </c>
      <c r="X138" s="102">
        <v>50</v>
      </c>
      <c r="Y138" s="102"/>
      <c r="Z138" s="102"/>
      <c r="AA138" s="102" t="s">
        <v>1057</v>
      </c>
    </row>
    <row r="139" spans="1:27" ht="39" x14ac:dyDescent="0.2">
      <c r="A139" s="105" t="s">
        <v>1034</v>
      </c>
      <c r="B139" s="102" t="s">
        <v>1068</v>
      </c>
      <c r="C139" s="102" t="s">
        <v>1067</v>
      </c>
      <c r="D139" s="102" t="s">
        <v>710</v>
      </c>
      <c r="E139" s="102">
        <v>150</v>
      </c>
      <c r="F139" s="102" t="s">
        <v>1066</v>
      </c>
      <c r="G139" s="102" t="s">
        <v>350</v>
      </c>
      <c r="H139" s="102" t="s">
        <v>1060</v>
      </c>
      <c r="I139" s="102" t="s">
        <v>1065</v>
      </c>
      <c r="J139" s="102"/>
      <c r="K139" s="102"/>
      <c r="L139" s="102"/>
      <c r="M139" s="102"/>
      <c r="N139" s="102"/>
      <c r="O139" s="102"/>
      <c r="P139" s="102" t="s">
        <v>1058</v>
      </c>
      <c r="Q139" s="102"/>
      <c r="R139" s="102"/>
      <c r="S139" s="102">
        <v>22.2</v>
      </c>
      <c r="T139" s="102">
        <v>27.75</v>
      </c>
      <c r="U139" s="102"/>
      <c r="V139" s="102"/>
      <c r="W139" s="102">
        <v>40</v>
      </c>
      <c r="X139" s="102">
        <v>50</v>
      </c>
      <c r="Y139" s="102"/>
      <c r="Z139" s="102"/>
      <c r="AA139" s="102" t="s">
        <v>1057</v>
      </c>
    </row>
    <row r="140" spans="1:27" ht="26" x14ac:dyDescent="0.2">
      <c r="A140" s="105" t="s">
        <v>1034</v>
      </c>
      <c r="B140" s="102" t="s">
        <v>1064</v>
      </c>
      <c r="C140" s="102" t="s">
        <v>1063</v>
      </c>
      <c r="D140" s="102" t="s">
        <v>714</v>
      </c>
      <c r="E140" s="102"/>
      <c r="F140" s="102"/>
      <c r="G140" s="102" t="s">
        <v>92</v>
      </c>
      <c r="H140" s="102" t="s">
        <v>1060</v>
      </c>
      <c r="I140" s="102" t="s">
        <v>1059</v>
      </c>
      <c r="J140" s="102"/>
      <c r="K140" s="102"/>
      <c r="L140" s="102"/>
      <c r="M140" s="102"/>
      <c r="N140" s="102"/>
      <c r="O140" s="102"/>
      <c r="P140" s="102" t="s">
        <v>1058</v>
      </c>
      <c r="Q140" s="102"/>
      <c r="R140" s="102"/>
      <c r="S140" s="102">
        <v>2028.8</v>
      </c>
      <c r="T140" s="102">
        <v>2536</v>
      </c>
      <c r="U140" s="102"/>
      <c r="V140" s="102"/>
      <c r="W140" s="102">
        <v>35</v>
      </c>
      <c r="X140" s="102">
        <v>50</v>
      </c>
      <c r="Y140" s="102"/>
      <c r="Z140" s="102"/>
      <c r="AA140" s="102" t="s">
        <v>1057</v>
      </c>
    </row>
    <row r="141" spans="1:27" ht="26" x14ac:dyDescent="0.2">
      <c r="A141" s="105" t="s">
        <v>1034</v>
      </c>
      <c r="B141" s="102" t="s">
        <v>1062</v>
      </c>
      <c r="C141" s="102" t="s">
        <v>1061</v>
      </c>
      <c r="D141" s="102" t="s">
        <v>714</v>
      </c>
      <c r="E141" s="102"/>
      <c r="F141" s="102"/>
      <c r="G141" s="102" t="s">
        <v>92</v>
      </c>
      <c r="H141" s="102" t="s">
        <v>1060</v>
      </c>
      <c r="I141" s="102" t="s">
        <v>1059</v>
      </c>
      <c r="J141" s="102"/>
      <c r="K141" s="102"/>
      <c r="L141" s="102"/>
      <c r="M141" s="102"/>
      <c r="N141" s="102"/>
      <c r="O141" s="102"/>
      <c r="P141" s="102" t="s">
        <v>1058</v>
      </c>
      <c r="Q141" s="102"/>
      <c r="R141" s="102"/>
      <c r="S141" s="102">
        <v>2757</v>
      </c>
      <c r="T141" s="102">
        <v>3446.25</v>
      </c>
      <c r="U141" s="102"/>
      <c r="V141" s="102"/>
      <c r="W141" s="102">
        <v>35</v>
      </c>
      <c r="X141" s="102">
        <v>50</v>
      </c>
      <c r="Y141" s="102"/>
      <c r="Z141" s="102"/>
      <c r="AA141" s="102" t="s">
        <v>1057</v>
      </c>
    </row>
    <row r="142" spans="1:27" ht="39" x14ac:dyDescent="0.2">
      <c r="A142" s="104" t="s">
        <v>1038</v>
      </c>
      <c r="B142" s="102" t="s">
        <v>1056</v>
      </c>
      <c r="C142" s="102" t="s">
        <v>1054</v>
      </c>
      <c r="D142" s="102" t="s">
        <v>710</v>
      </c>
      <c r="E142" s="102">
        <v>400</v>
      </c>
      <c r="F142" s="102" t="s">
        <v>71</v>
      </c>
      <c r="G142" s="102" t="s">
        <v>354</v>
      </c>
      <c r="H142" s="102" t="s">
        <v>36</v>
      </c>
      <c r="I142" s="102" t="s">
        <v>1053</v>
      </c>
      <c r="J142" s="102"/>
      <c r="K142" s="102"/>
      <c r="L142" s="102"/>
      <c r="M142" s="102"/>
      <c r="N142" s="102"/>
      <c r="O142" s="102"/>
      <c r="P142" s="102" t="s">
        <v>1052</v>
      </c>
      <c r="Q142" s="102">
        <v>80</v>
      </c>
      <c r="R142" s="102">
        <v>1810</v>
      </c>
      <c r="S142" s="102">
        <v>450</v>
      </c>
      <c r="T142" s="102">
        <v>495</v>
      </c>
      <c r="U142" s="102">
        <v>17</v>
      </c>
      <c r="V142" s="102">
        <v>24.5</v>
      </c>
      <c r="W142" s="102">
        <v>35</v>
      </c>
      <c r="X142" s="102">
        <v>80</v>
      </c>
      <c r="Y142" s="102">
        <v>1.81</v>
      </c>
      <c r="Z142" s="102" t="s">
        <v>1051</v>
      </c>
      <c r="AA142" s="102" t="s">
        <v>1050</v>
      </c>
    </row>
    <row r="143" spans="1:27" ht="39" x14ac:dyDescent="0.2">
      <c r="A143" s="104" t="s">
        <v>1038</v>
      </c>
      <c r="B143" s="102" t="s">
        <v>1055</v>
      </c>
      <c r="C143" s="102" t="s">
        <v>1054</v>
      </c>
      <c r="D143" s="102" t="s">
        <v>710</v>
      </c>
      <c r="E143" s="102">
        <v>400</v>
      </c>
      <c r="F143" s="102" t="s">
        <v>71</v>
      </c>
      <c r="G143" s="102" t="s">
        <v>354</v>
      </c>
      <c r="H143" s="102" t="s">
        <v>36</v>
      </c>
      <c r="I143" s="102" t="s">
        <v>1053</v>
      </c>
      <c r="J143" s="102"/>
      <c r="K143" s="102"/>
      <c r="L143" s="102"/>
      <c r="M143" s="102"/>
      <c r="N143" s="102"/>
      <c r="O143" s="102"/>
      <c r="P143" s="102" t="s">
        <v>1052</v>
      </c>
      <c r="Q143" s="102">
        <v>80</v>
      </c>
      <c r="R143" s="102">
        <v>1810</v>
      </c>
      <c r="S143" s="102">
        <v>450</v>
      </c>
      <c r="T143" s="102">
        <v>495</v>
      </c>
      <c r="U143" s="102">
        <v>17</v>
      </c>
      <c r="V143" s="102">
        <v>24.5</v>
      </c>
      <c r="W143" s="102">
        <v>35</v>
      </c>
      <c r="X143" s="102">
        <v>80</v>
      </c>
      <c r="Y143" s="102">
        <v>1.81</v>
      </c>
      <c r="Z143" s="102" t="s">
        <v>1051</v>
      </c>
      <c r="AA143" s="102" t="s">
        <v>1050</v>
      </c>
    </row>
    <row r="144" spans="1:27" ht="39" x14ac:dyDescent="0.2">
      <c r="A144" s="103" t="s">
        <v>1036</v>
      </c>
      <c r="B144" s="102" t="s">
        <v>1049</v>
      </c>
      <c r="C144" s="102" t="s">
        <v>1048</v>
      </c>
      <c r="D144" s="102" t="s">
        <v>711</v>
      </c>
      <c r="E144" s="102">
        <v>1600</v>
      </c>
      <c r="F144" s="102" t="s">
        <v>1047</v>
      </c>
      <c r="G144" s="102" t="s">
        <v>1046</v>
      </c>
      <c r="H144" s="102" t="s">
        <v>1045</v>
      </c>
      <c r="I144" s="102" t="s">
        <v>1044</v>
      </c>
      <c r="J144" s="102"/>
      <c r="K144" s="102"/>
      <c r="L144" s="102"/>
      <c r="M144" s="102"/>
      <c r="N144" s="102"/>
      <c r="O144" s="102"/>
      <c r="P144" s="102" t="s">
        <v>1043</v>
      </c>
      <c r="Q144" s="102"/>
      <c r="R144" s="102"/>
      <c r="S144" s="102"/>
      <c r="T144" s="102">
        <v>12408</v>
      </c>
      <c r="U144" s="102"/>
      <c r="V144" s="102">
        <v>1.2</v>
      </c>
      <c r="W144" s="102">
        <v>20.5</v>
      </c>
      <c r="X144" s="102">
        <v>22</v>
      </c>
      <c r="Y144" s="102"/>
      <c r="Z144" s="102" t="s">
        <v>1042</v>
      </c>
      <c r="AA144" s="102" t="s">
        <v>1041</v>
      </c>
    </row>
    <row r="146" spans="1:2" x14ac:dyDescent="0.2">
      <c r="A146" s="101" t="s">
        <v>1040</v>
      </c>
    </row>
    <row r="147" spans="1:2" x14ac:dyDescent="0.2">
      <c r="A147" t="s">
        <v>1039</v>
      </c>
    </row>
    <row r="148" spans="1:2" x14ac:dyDescent="0.2">
      <c r="A148" s="100" t="s">
        <v>1038</v>
      </c>
      <c r="B148" t="s">
        <v>1037</v>
      </c>
    </row>
    <row r="149" spans="1:2" x14ac:dyDescent="0.2">
      <c r="A149" s="99" t="s">
        <v>1036</v>
      </c>
      <c r="B149" t="s">
        <v>1035</v>
      </c>
    </row>
    <row r="150" spans="1:2" x14ac:dyDescent="0.2">
      <c r="A150" s="98" t="s">
        <v>1034</v>
      </c>
      <c r="B150" t="s">
        <v>1033</v>
      </c>
    </row>
    <row r="151" spans="1:2" x14ac:dyDescent="0.2">
      <c r="A151" s="97" t="s">
        <v>1032</v>
      </c>
      <c r="B151" t="s">
        <v>1031</v>
      </c>
    </row>
    <row r="152" spans="1:2" x14ac:dyDescent="0.2">
      <c r="A152" s="96" t="s">
        <v>1030</v>
      </c>
      <c r="B152" t="s">
        <v>1029</v>
      </c>
    </row>
  </sheetData>
  <autoFilter ref="A1:AA59"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Guide</vt:lpstr>
      <vt:lpstr>Vendor Models</vt:lpstr>
      <vt:lpstr>Electrode Materials</vt:lpstr>
      <vt:lpstr>Liner Materials</vt:lpstr>
      <vt:lpstr>Drift Detection</vt:lpstr>
      <vt:lpstr>Fluid-Material Matrix</vt:lpstr>
      <vt:lpstr>Sources &amp; Evolution</vt:lpstr>
      <vt:lpstr>CAPEX Components</vt:lpstr>
      <vt:lpstr>OPEX Estimation</vt:lpstr>
      <vt:lpstr>TCO Scoring Examples</vt:lpstr>
      <vt:lpstr>JESA Project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2026-04-18T11:11:02Z</dcterms:created>
  <dcterms:modified xsi:type="dcterms:W3CDTF">2026-05-18T10:56:47Z</dcterms:modified>
</cp:coreProperties>
</file>